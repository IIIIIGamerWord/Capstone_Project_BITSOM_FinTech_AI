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nnections.xml" ContentType="application/vnd.openxmlformats-officedocument.spreadsheetml.connection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1"/>
  <bookViews>
    <workbookView xWindow="360" yWindow="15" windowWidth="20955" windowHeight="9720" activeTab="2"/>
  </bookViews>
  <sheets>
    <sheet name="merchants" sheetId="1" state="visible" r:id="rId4"/>
    <sheet name="ledger" sheetId="2" state="visible" r:id="rId5"/>
    <sheet name="merchant_workbook" sheetId="3" state="visible" r:id="rId6"/>
    <sheet name="merchant_workbook_pivot_table" sheetId="4" state="visible" r:id="rId7"/>
  </sheets>
  <definedNames>
    <definedName name="_xlnm._FilterDatabase" localSheetId="2" hidden="1">merchant_workbook!$A$1:$N$548</definedName>
    <definedName name="_xlcn.WorksheetConnection_merchant_workbookA1L548" hidden="1">merchant_workbook!$A$1:$L$548</definedName>
    <definedName name="_xlnm._FilterDatabase" localSheetId="2" hidden="1">merchant_workbook!$A$1:$N$548</definedName>
  </definedNames>
  <calcPr/>
  <pivotCaches>
    <pivotCache cacheId="1" r:id="rId1"/>
    <pivotCache cacheId="0" r:id="rId2"/>
  </pivotCaches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2F0F8A-6ECD-428C-B666-CA541F7333AC}" keepAlive="1" name="ThisWorkbookDataModel" description="Data Model" type="5" background="1" minRefreshableVersion="5" refreshedVersion="8">
    <dbPr connection="Data Model Connection" command="Model" commandType="1"/>
    <olapPr rowDrillCount="1000" sendLocale="1"/>
  </connection>
  <connection id="2" xr16:uid="{40D02A34-43BE-4108-AC24-176429B30B4A}" name="WorksheetConnection_merchant_workbook!$A$1:$L$548" type="102" minRefreshableVersion="5" refreshedVersion="8">
    <extLst>
      <ext xmlns:x15="http://schemas.microsoft.com/office/spreadsheetml/2010/11/main" uri="{DE250136-89BD-433C-8126-D09CA5730AF9}">
        <x15:connection id="Range">
          <x15:rangePr sourceName="_xlcn.WorksheetConnection_merchant_workbookA1L548"/>
        </x15:connection>
      </ext>
    </extLst>
  </connection>
</connections>
</file>

<file path=xl/sharedStrings.xml><?xml version="1.0" encoding="utf-8"?>
<sst xmlns="http://schemas.openxmlformats.org/spreadsheetml/2006/main" count="1198" uniqueCount="1198">
  <si>
    <t>merchant_id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</si>
  <si>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</si>
  <si>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</si>
  <si>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</si>
  <si>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</si>
  <si>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</si>
  <si>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</si>
  <si>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</si>
  <si>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</si>
  <si>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</si>
  <si>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</si>
  <si>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</si>
  <si>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</si>
  <si>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</si>
  <si>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</si>
  <si>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</si>
  <si>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</si>
  <si>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</si>
  <si>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</si>
  <si>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</si>
  <si>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</si>
  <si>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</si>
  <si>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</si>
  <si>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</si>
  <si>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</si>
  <si>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</si>
  <si>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</si>
  <si>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</si>
  <si>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</si>
  <si>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</si>
  <si>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</si>
  <si>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</si>
  <si>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</si>
  <si>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</si>
  <si>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</si>
  <si>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</si>
  <si>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</si>
  <si>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</si>
  <si>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</si>
  <si>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</si>
  <si>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</si>
  <si>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</si>
  <si>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</si>
  <si>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</si>
  <si>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</si>
  <si>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</si>
  <si>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</si>
  <si>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</si>
  <si>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</si>
  <si>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</si>
  <si>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</si>
  <si>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</si>
  <si>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</si>
  <si>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</si>
  <si>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</si>
  <si>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transaction_id</t>
  </si>
  <si>
    <t>user_id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</si>
  <si>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</si>
  <si>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</si>
  <si>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</si>
  <si>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</si>
  <si>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</si>
  <si>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</si>
  <si>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</si>
  <si>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</si>
  <si>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</si>
  <si>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</si>
  <si>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</si>
  <si>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</si>
  <si>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</si>
  <si>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</si>
  <si>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</si>
  <si>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</si>
  <si>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</si>
  <si>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</si>
  <si>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</si>
  <si>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</si>
  <si>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</si>
  <si>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</si>
  <si>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</si>
  <si>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</si>
  <si>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</si>
  <si>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</si>
  <si>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</si>
  <si>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</si>
  <si>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</si>
  <si>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</si>
  <si>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</si>
  <si>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</si>
  <si>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</si>
  <si>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</si>
  <si>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</si>
  <si>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</si>
  <si>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</si>
  <si>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</si>
  <si>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</si>
  <si>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</si>
  <si>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</si>
  <si>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</si>
  <si>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</si>
  <si>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</si>
  <si>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</si>
  <si>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</si>
  <si>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</si>
  <si>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</si>
  <si>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</si>
  <si>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</si>
  <si>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</si>
  <si>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</si>
  <si>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</si>
  <si>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</si>
  <si>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</si>
  <si>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</si>
  <si>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</si>
  <si>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</si>
  <si>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</si>
  <si>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</si>
  <si>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</si>
  <si>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</si>
  <si>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</si>
  <si>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</si>
  <si>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</si>
  <si>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</si>
  <si>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</si>
  <si>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</si>
  <si>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</si>
  <si>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</si>
  <si>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</si>
  <si>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</si>
  <si>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</si>
  <si>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</si>
  <si>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</si>
  <si>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</si>
  <si>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</si>
  <si>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</si>
  <si>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</si>
  <si>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</si>
  <si>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</si>
  <si>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</si>
  <si>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</si>
  <si>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</si>
  <si>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</si>
  <si>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</si>
  <si>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</si>
  <si>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</si>
  <si>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</si>
  <si>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</si>
  <si>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</si>
  <si>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</si>
  <si>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</si>
  <si>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</si>
  <si>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</si>
  <si>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</si>
  <si>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</si>
  <si>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</si>
  <si>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</si>
  <si>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</si>
  <si>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</si>
  <si>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</si>
  <si>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</si>
  <si>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</si>
  <si>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</si>
  <si>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</si>
  <si>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</si>
  <si>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</si>
  <si>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</si>
  <si>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</si>
  <si>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</si>
  <si>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</si>
  <si>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</si>
  <si>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</si>
  <si>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</si>
  <si>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</si>
  <si>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</si>
  <si>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</si>
  <si>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</si>
  <si>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</si>
  <si>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</si>
  <si>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</si>
  <si>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</si>
  <si>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</si>
  <si>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</si>
  <si>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</si>
  <si>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</si>
  <si>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</si>
  <si>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</si>
  <si>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</si>
  <si>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</si>
  <si>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</si>
  <si>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</si>
  <si>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</si>
  <si>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</si>
  <si>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</si>
  <si>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</si>
  <si>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</si>
  <si>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</si>
  <si>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</si>
  <si>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</si>
  <si>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</si>
  <si>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</si>
  <si>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</si>
  <si>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</si>
  <si>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</si>
  <si>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</si>
  <si>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</si>
  <si>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</si>
  <si>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</si>
  <si>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</si>
  <si>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</si>
  <si>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</si>
  <si>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</si>
  <si>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</si>
  <si>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</si>
  <si>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</si>
  <si>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</si>
  <si>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</si>
  <si>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</si>
  <si>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</si>
  <si>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</si>
  <si>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</si>
  <si>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</si>
  <si>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</si>
  <si>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</si>
  <si>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</si>
  <si>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</si>
  <si>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</si>
  <si>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</si>
  <si>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</si>
  <si>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</si>
  <si>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</si>
  <si>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</si>
  <si>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</si>
  <si>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</si>
  <si>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</si>
  <si>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</si>
  <si>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</si>
  <si>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</si>
  <si>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</si>
  <si>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</si>
  <si>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</si>
  <si>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</si>
  <si>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</si>
  <si>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</si>
  <si>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</si>
  <si>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</si>
  <si>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</si>
  <si>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</si>
  <si>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</si>
  <si>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</si>
  <si>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</si>
  <si>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</si>
  <si>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</si>
  <si>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</si>
  <si>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</si>
  <si>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</si>
  <si>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</si>
  <si>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</si>
  <si>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</si>
  <si>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</si>
  <si>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</si>
  <si>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</si>
  <si>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</si>
  <si>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</si>
  <si>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</si>
  <si>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</si>
  <si>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</si>
  <si>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</si>
  <si>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</si>
  <si>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</si>
  <si>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</si>
  <si>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</si>
  <si>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</si>
  <si>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</si>
  <si>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</si>
  <si>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</si>
  <si>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</si>
  <si>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</si>
  <si>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</si>
  <si>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</si>
  <si>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</si>
  <si>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</si>
  <si>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</si>
  <si>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</si>
  <si>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</si>
  <si>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</si>
  <si>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</si>
  <si>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</si>
  <si>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</si>
  <si>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</si>
  <si>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</si>
  <si>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</si>
  <si>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</si>
  <si>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</si>
  <si>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</si>
  <si>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</si>
  <si>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</si>
  <si>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</si>
  <si>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</si>
  <si>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</si>
  <si>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</si>
  <si>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</si>
  <si>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</si>
  <si>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</si>
  <si>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</si>
  <si>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</si>
  <si>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</si>
  <si>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</si>
  <si>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</si>
  <si>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</si>
  <si>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</si>
  <si>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</si>
  <si>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</si>
  <si>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</si>
  <si>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</si>
  <si>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</si>
  <si>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</si>
  <si>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</si>
  <si>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</si>
  <si>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</si>
  <si>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</si>
  <si>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</si>
  <si>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</si>
  <si>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</si>
  <si>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</si>
  <si>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</si>
  <si>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</si>
  <si>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</si>
  <si>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</si>
  <si>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</si>
  <si>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</si>
  <si>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</si>
  <si>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</si>
  <si>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</si>
  <si>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</si>
  <si>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</si>
  <si>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</si>
  <si>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</si>
  <si>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</si>
  <si>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</si>
  <si>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</si>
  <si>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</si>
  <si>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</si>
  <si>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</si>
  <si>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</si>
  <si>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</si>
  <si>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</si>
  <si>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</si>
  <si>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</si>
  <si>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</si>
  <si>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</si>
  <si>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</si>
  <si>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</si>
  <si>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</si>
  <si>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</si>
  <si>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</si>
  <si>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</si>
  <si>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</si>
  <si>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</si>
  <si>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</si>
  <si>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</si>
  <si>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</si>
  <si>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</si>
  <si>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</si>
  <si>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</si>
  <si>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</si>
  <si>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</si>
  <si>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</si>
  <si>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</si>
  <si>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</si>
  <si>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</si>
  <si>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</si>
  <si>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</si>
  <si>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</si>
  <si>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</si>
  <si>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</si>
  <si>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</si>
  <si>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</si>
  <si>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</si>
  <si>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</si>
  <si>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</si>
  <si>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</si>
  <si>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</si>
  <si>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</si>
  <si>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</si>
  <si>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</si>
  <si>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</si>
  <si>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</si>
  <si>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</si>
  <si>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</si>
  <si>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</si>
  <si>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</si>
  <si>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</si>
  <si>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</si>
  <si>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</si>
  <si>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</si>
  <si>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</si>
  <si>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</si>
  <si>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</si>
  <si>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</si>
  <si>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</si>
  <si>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</si>
  <si>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</si>
  <si>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</si>
  <si>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</si>
  <si>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</si>
  <si>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</si>
  <si>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</si>
  <si>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</si>
  <si>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</si>
  <si>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</si>
  <si>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</si>
  <si>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</si>
  <si>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</si>
  <si>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</si>
  <si>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</si>
  <si>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</si>
  <si>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</si>
  <si>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</si>
  <si>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</si>
  <si>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</si>
  <si>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</si>
  <si>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</si>
  <si>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</si>
  <si>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</si>
  <si>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</si>
  <si>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</si>
  <si>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</si>
  <si>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</si>
  <si>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</si>
  <si>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</si>
  <si>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</si>
  <si>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</si>
  <si>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</si>
  <si>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</si>
  <si>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</si>
  <si>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</si>
  <si>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</si>
  <si>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</si>
  <si>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</si>
  <si>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</si>
  <si>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</si>
  <si>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</si>
  <si>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</si>
  <si>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</si>
  <si>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</si>
  <si>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</si>
  <si>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</si>
  <si>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</si>
  <si>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</si>
  <si>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</si>
  <si>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</si>
  <si>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</si>
  <si>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</si>
  <si>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</si>
  <si>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</si>
  <si>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</si>
  <si>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</si>
  <si>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</si>
  <si>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</si>
  <si>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</si>
  <si>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</si>
  <si>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</si>
  <si>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</si>
  <si>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</si>
  <si>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</si>
  <si>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</si>
  <si>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</si>
  <si>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</si>
  <si>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</si>
  <si>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</si>
  <si>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</si>
  <si>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</si>
  <si>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</si>
  <si>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</si>
  <si>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</si>
  <si>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</si>
  <si>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</si>
  <si>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</si>
  <si>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</si>
  <si>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</si>
  <si>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</si>
  <si>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</si>
  <si>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</si>
  <si>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</si>
  <si>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</si>
  <si>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</si>
  <si>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</si>
  <si>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</si>
  <si>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</si>
  <si>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</si>
  <si>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</si>
  <si>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</si>
  <si>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</si>
  <si>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</si>
  <si>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</si>
  <si>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</si>
  <si>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</si>
  <si>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</si>
  <si>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</si>
  <si>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</si>
  <si>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</si>
  <si>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</si>
  <si>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</si>
  <si>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</si>
  <si>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</si>
  <si>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</si>
  <si>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</si>
  <si>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</si>
  <si>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</si>
  <si>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</si>
  <si>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</si>
  <si>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</si>
  <si>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</si>
  <si>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</si>
  <si>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</si>
  <si>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</si>
  <si>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</si>
  <si>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</si>
  <si>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</si>
  <si>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</si>
  <si>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</si>
  <si>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</si>
  <si>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</si>
  <si>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</si>
  <si>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</si>
  <si>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</si>
  <si>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</si>
  <si>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</si>
  <si>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</si>
  <si>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</si>
  <si>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</si>
  <si>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</si>
  <si>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</si>
  <si>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</si>
  <si>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</si>
  <si>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</si>
  <si>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</si>
  <si>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</si>
  <si>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</si>
  <si>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</si>
  <si>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</si>
  <si>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</si>
  <si>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</si>
  <si>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</si>
  <si>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</si>
  <si>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</si>
  <si>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</si>
  <si>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</si>
  <si>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</si>
  <si>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</si>
  <si>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</si>
  <si>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</si>
  <si>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</si>
  <si>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</si>
  <si>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</si>
  <si>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</si>
  <si>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</si>
  <si>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</si>
  <si>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</si>
  <si>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</si>
  <si>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</si>
  <si>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</si>
  <si>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</si>
  <si>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</si>
  <si>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</si>
  <si>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</si>
  <si>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</si>
  <si>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</si>
  <si>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</si>
  <si>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</si>
  <si>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</si>
  <si>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</si>
  <si>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</si>
  <si>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</si>
  <si>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</si>
  <si>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</si>
  <si>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</si>
  <si>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</si>
  <si>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</si>
  <si>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</si>
  <si>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</si>
  <si>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</si>
  <si>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</si>
  <si>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</si>
  <si>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</si>
  <si>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</si>
  <si>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</si>
  <si>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</si>
  <si>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</si>
  <si>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</si>
  <si>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</si>
  <si>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</si>
  <si>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</si>
  <si>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</si>
  <si>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</si>
  <si>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</si>
  <si>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</si>
  <si>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</si>
  <si>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</si>
  <si>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</si>
  <si>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</si>
  <si>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</si>
  <si>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</si>
  <si>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</si>
  <si>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</si>
  <si>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</si>
  <si>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</si>
  <si>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</si>
  <si>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</si>
  <si>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</si>
  <si>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</si>
  <si>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</si>
  <si>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</si>
  <si>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</si>
  <si>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</si>
  <si>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</si>
  <si>
    <t>transaction_date</t>
  </si>
  <si>
    <t>MDR_fee</t>
  </si>
  <si>
    <t>merchant_day_classification</t>
  </si>
  <si>
    <t xml:space="preserve">2026-01-29 11:13:00</t>
  </si>
  <si>
    <t>MDR_fee_percentage</t>
  </si>
  <si>
    <t xml:space="preserve">2026-01-04 11:49:00</t>
  </si>
  <si>
    <t xml:space="preserve">2026-01-24 4:59:00</t>
  </si>
  <si>
    <t/>
  </si>
  <si>
    <t>transaction_days</t>
  </si>
  <si>
    <t>transaction_count</t>
  </si>
  <si>
    <t xml:space="preserve">2026-01-29 13:01:00</t>
  </si>
  <si>
    <t xml:space="preserve">2026-01-30 13:51:00</t>
  </si>
  <si>
    <t xml:space="preserve">2026-01-06 22:06:00</t>
  </si>
  <si>
    <t xml:space="preserve">2026-01-08 6:52:00</t>
  </si>
  <si>
    <t xml:space="preserve">2026-01-27 7:14:00</t>
  </si>
  <si>
    <t xml:space="preserve">2026-01-11 8:55:00</t>
  </si>
  <si>
    <t xml:space="preserve">2026-01-21 16:25:00</t>
  </si>
  <si>
    <t xml:space="preserve">2026-01-01 3:56:00</t>
  </si>
  <si>
    <t xml:space="preserve">2026-01-09 1:06:00</t>
  </si>
  <si>
    <t xml:space="preserve">2026-01-24 10:27:00</t>
  </si>
  <si>
    <t xml:space="preserve">2026-01-13 18:12:00</t>
  </si>
  <si>
    <t xml:space="preserve">2026-01-14 0:33:00</t>
  </si>
  <si>
    <t xml:space="preserve">2026-01-14 2:42:00</t>
  </si>
  <si>
    <t xml:space="preserve">2026-01-22 3:46:00</t>
  </si>
  <si>
    <t xml:space="preserve">2026-01-22 13:20:00</t>
  </si>
  <si>
    <t xml:space="preserve">2026-01-05 6:26:00</t>
  </si>
  <si>
    <t xml:space="preserve">2026-01-24 5:39:00</t>
  </si>
  <si>
    <t xml:space="preserve">2026-01-18 0:19:00</t>
  </si>
  <si>
    <t xml:space="preserve">2026-01-26 18:38:00</t>
  </si>
  <si>
    <t xml:space="preserve">2026-01-15 14:43:00</t>
  </si>
  <si>
    <t xml:space="preserve">2026-01-26 23:10:00</t>
  </si>
  <si>
    <t xml:space="preserve">2026-01-17 21:40:00</t>
  </si>
  <si>
    <t xml:space="preserve">2026-01-27 7:43:00</t>
  </si>
  <si>
    <t xml:space="preserve">2026-01-05 0:02:00</t>
  </si>
  <si>
    <t xml:space="preserve">2026-01-28 2:29:00</t>
  </si>
  <si>
    <t xml:space="preserve">2026-01-23 22:24:00</t>
  </si>
  <si>
    <t xml:space="preserve">2026-01-05 20:44:00</t>
  </si>
  <si>
    <t xml:space="preserve">2026-01-14 7:11:00</t>
  </si>
  <si>
    <t xml:space="preserve">2026-01-18 7:58:00</t>
  </si>
  <si>
    <t xml:space="preserve">2026-01-26 14:42:00</t>
  </si>
  <si>
    <t xml:space="preserve">2026-01-11 14:39:00</t>
  </si>
  <si>
    <t xml:space="preserve">2026-01-15 5:47:00</t>
  </si>
  <si>
    <t xml:space="preserve">2026-01-25 7:53:00</t>
  </si>
  <si>
    <t xml:space="preserve">2026-01-25 16:31:00</t>
  </si>
  <si>
    <t xml:space="preserve">2026-01-15 2:45:00</t>
  </si>
  <si>
    <t xml:space="preserve">2026-01-11 10:57:00</t>
  </si>
  <si>
    <t xml:space="preserve">2026-01-05 7:24:00</t>
  </si>
  <si>
    <t xml:space="preserve">2026-01-14 13:21:00</t>
  </si>
  <si>
    <t xml:space="preserve">2026-01-02 6:53:00</t>
  </si>
  <si>
    <t xml:space="preserve">2026-01-19 22:01:00</t>
  </si>
  <si>
    <t xml:space="preserve">2026-01-01 11:19:00</t>
  </si>
  <si>
    <t xml:space="preserve">Grand Total</t>
  </si>
  <si>
    <t xml:space="preserve">2026-01-24 23:34:00</t>
  </si>
  <si>
    <t xml:space="preserve">2026-01-08 8:27:00</t>
  </si>
  <si>
    <t xml:space="preserve">2026-01-11 21:43:00</t>
  </si>
  <si>
    <t xml:space="preserve">2026-01-30 4:39:00</t>
  </si>
  <si>
    <t xml:space="preserve">2026-01-19 18:42:00</t>
  </si>
  <si>
    <t xml:space="preserve">2026-01-14 4:55:00</t>
  </si>
  <si>
    <t xml:space="preserve">2026-01-09 12:20:00</t>
  </si>
  <si>
    <t xml:space="preserve">2026-01-11 12:17:00</t>
  </si>
  <si>
    <t xml:space="preserve">2026-01-16 0:47:00</t>
  </si>
  <si>
    <t xml:space="preserve">2026-01-08 20:04:00</t>
  </si>
  <si>
    <t xml:space="preserve">2026-01-01 7:12:00</t>
  </si>
  <si>
    <t xml:space="preserve">2026-01-08 4:30:00</t>
  </si>
  <si>
    <t xml:space="preserve">2026-01-07 14:44:00</t>
  </si>
  <si>
    <t xml:space="preserve">2026-01-20 19:47:00</t>
  </si>
  <si>
    <t xml:space="preserve">2026-01-04 18:01:00</t>
  </si>
  <si>
    <t xml:space="preserve">2026-01-30 12:25:00</t>
  </si>
  <si>
    <t xml:space="preserve">2026-01-23 20:15:00</t>
  </si>
  <si>
    <t xml:space="preserve">2026-01-20 3:50:00</t>
  </si>
  <si>
    <t xml:space="preserve">2026-01-18 13:42:00</t>
  </si>
  <si>
    <t xml:space="preserve">2026-01-21 10:00:00</t>
  </si>
  <si>
    <t xml:space="preserve">2026-01-14 11:40:00</t>
  </si>
  <si>
    <t xml:space="preserve">2026-01-06 23:33:00</t>
  </si>
  <si>
    <t xml:space="preserve">2026-01-26 17:49:00</t>
  </si>
  <si>
    <t xml:space="preserve">2026-01-27 23:37:00</t>
  </si>
  <si>
    <t xml:space="preserve">2026-01-27 2:17:00</t>
  </si>
  <si>
    <t xml:space="preserve">2026-01-15 18:39:00</t>
  </si>
  <si>
    <t xml:space="preserve">2026-01-01 15:54:00</t>
  </si>
  <si>
    <t xml:space="preserve">2026-01-07 11:51:00</t>
  </si>
  <si>
    <t xml:space="preserve">2026-01-29 19:44:00</t>
  </si>
  <si>
    <t xml:space="preserve">2026-01-17 6:05:00</t>
  </si>
  <si>
    <t xml:space="preserve">2026-01-18 7:44:00</t>
  </si>
  <si>
    <t xml:space="preserve">2026-01-26 0:05:00</t>
  </si>
  <si>
    <t xml:space="preserve">2026-01-23 7:19:00</t>
  </si>
  <si>
    <t xml:space="preserve">2026-01-16 17:33:00</t>
  </si>
  <si>
    <t xml:space="preserve">2026-01-18 10:22:00</t>
  </si>
  <si>
    <t xml:space="preserve">2026-01-09 7:07:00</t>
  </si>
  <si>
    <t xml:space="preserve">2026-01-24 17:48:00</t>
  </si>
  <si>
    <t xml:space="preserve">2026-01-24 15:17:00</t>
  </si>
  <si>
    <t xml:space="preserve">2026-01-10 3:53:00</t>
  </si>
  <si>
    <t xml:space="preserve">2026-01-12 5:19:00</t>
  </si>
  <si>
    <t xml:space="preserve">2026-01-09 1:03:00</t>
  </si>
  <si>
    <t xml:space="preserve">2026-01-05 20:55:00</t>
  </si>
  <si>
    <t xml:space="preserve">2026-01-19 9:30:00</t>
  </si>
  <si>
    <t xml:space="preserve">2026-01-06 1:16:00</t>
  </si>
  <si>
    <t xml:space="preserve">2026-01-13 15:04:00</t>
  </si>
  <si>
    <t xml:space="preserve">2026-01-05 18:19:00</t>
  </si>
  <si>
    <t xml:space="preserve">2026-01-18 13:38:00</t>
  </si>
  <si>
    <t xml:space="preserve">2026-01-25 16:24:00</t>
  </si>
  <si>
    <t xml:space="preserve">2026-01-28 18:27:00</t>
  </si>
  <si>
    <t xml:space="preserve">2026-01-02 19:47:00</t>
  </si>
  <si>
    <t xml:space="preserve">2026-01-07 8:42:00</t>
  </si>
  <si>
    <t xml:space="preserve">2026-01-06 17:04:00</t>
  </si>
  <si>
    <t xml:space="preserve">2026-01-15 22:38:00</t>
  </si>
  <si>
    <t xml:space="preserve">2026-01-08 9:45:00</t>
  </si>
  <si>
    <t xml:space="preserve">2026-01-22 7:59:00</t>
  </si>
  <si>
    <t xml:space="preserve">2026-01-26 6:27:00</t>
  </si>
  <si>
    <t xml:space="preserve">2026-01-21 4:58:00</t>
  </si>
  <si>
    <t xml:space="preserve">2026-01-02 5:50:00</t>
  </si>
  <si>
    <t xml:space="preserve">2026-01-27 18:58:00</t>
  </si>
  <si>
    <t xml:space="preserve">2026-01-15 22:19:00</t>
  </si>
  <si>
    <t xml:space="preserve">2026-01-18 15:28:00</t>
  </si>
  <si>
    <t xml:space="preserve">2026-01-29 13:47:00</t>
  </si>
  <si>
    <t xml:space="preserve">2026-01-01 2:14:00</t>
  </si>
  <si>
    <t xml:space="preserve">2026-01-01 21:52:00</t>
  </si>
  <si>
    <t xml:space="preserve">2026-01-25 5:30:00</t>
  </si>
  <si>
    <t xml:space="preserve">2026-01-06 18:27:00</t>
  </si>
  <si>
    <t xml:space="preserve">2026-01-16 11:26:00</t>
  </si>
  <si>
    <t xml:space="preserve">2026-01-04 5:21:00</t>
  </si>
  <si>
    <t xml:space="preserve">2026-01-22 12:52:00</t>
  </si>
  <si>
    <t xml:space="preserve">2026-01-03 10:16:00</t>
  </si>
  <si>
    <t xml:space="preserve">2026-01-13 16:52:00</t>
  </si>
  <si>
    <t xml:space="preserve">2026-01-14 1:12:00</t>
  </si>
  <si>
    <t xml:space="preserve">2026-01-25 15:40:00</t>
  </si>
  <si>
    <t xml:space="preserve">2026-01-09 17:08:00</t>
  </si>
  <si>
    <t xml:space="preserve">2026-01-16 3:01:00</t>
  </si>
  <si>
    <t xml:space="preserve">2026-01-23 5:19:00</t>
  </si>
  <si>
    <t xml:space="preserve">2026-01-14 2:14:00</t>
  </si>
  <si>
    <t xml:space="preserve">2026-01-21 4:31:00</t>
  </si>
  <si>
    <t xml:space="preserve">2026-01-09 13:53:00</t>
  </si>
  <si>
    <t xml:space="preserve">2026-01-15 17:09:00</t>
  </si>
  <si>
    <t xml:space="preserve">2026-01-17 23:56:00</t>
  </si>
  <si>
    <t xml:space="preserve">2026-01-25 13:21:00</t>
  </si>
  <si>
    <t xml:space="preserve">2026-01-10 23:19:00</t>
  </si>
  <si>
    <t xml:space="preserve">2026-01-16 4:28:00</t>
  </si>
  <si>
    <t xml:space="preserve">2026-01-11 17:48:00</t>
  </si>
  <si>
    <t xml:space="preserve">2026-01-30 10:55:00</t>
  </si>
  <si>
    <t xml:space="preserve">2026-01-13 7:54:00</t>
  </si>
  <si>
    <t xml:space="preserve">2026-01-24 15:45:00</t>
  </si>
  <si>
    <t xml:space="preserve">2026-01-26 20:09:00</t>
  </si>
  <si>
    <t xml:space="preserve">2026-01-17 18:21:00</t>
  </si>
  <si>
    <t xml:space="preserve">2026-01-17 14:00:00</t>
  </si>
  <si>
    <t xml:space="preserve">2026-01-05 2:30:00</t>
  </si>
  <si>
    <t xml:space="preserve">2026-01-23 12:41:00</t>
  </si>
  <si>
    <t xml:space="preserve">2026-01-28 17:24:00</t>
  </si>
  <si>
    <t xml:space="preserve">2026-01-02 19:04:00</t>
  </si>
  <si>
    <t xml:space="preserve">2026-01-24 2:27:00</t>
  </si>
  <si>
    <t xml:space="preserve">2026-01-06 22:19:00</t>
  </si>
  <si>
    <t xml:space="preserve">2026-01-26 1:18:00</t>
  </si>
  <si>
    <t xml:space="preserve">2026-01-05 7:33:00</t>
  </si>
  <si>
    <t xml:space="preserve">2026-01-26 5:10:00</t>
  </si>
  <si>
    <t xml:space="preserve">2026-01-28 12:39:00</t>
  </si>
  <si>
    <t xml:space="preserve">2026-01-30 18:09:00</t>
  </si>
  <si>
    <t xml:space="preserve">2026-01-09 14:16:00</t>
  </si>
  <si>
    <t xml:space="preserve">2026-01-29 9:43:00</t>
  </si>
  <si>
    <t xml:space="preserve">2026-01-15 11:37:00</t>
  </si>
  <si>
    <t xml:space="preserve">2026-01-09 14:54:00</t>
  </si>
  <si>
    <t xml:space="preserve">2026-01-28 15:06:00</t>
  </si>
  <si>
    <t xml:space="preserve">2026-01-12 18:18:00</t>
  </si>
  <si>
    <t xml:space="preserve">2026-01-13 8:00:00</t>
  </si>
  <si>
    <t xml:space="preserve">2026-01-24 15:53:00</t>
  </si>
  <si>
    <t xml:space="preserve">2026-01-26 11:14:00</t>
  </si>
  <si>
    <t xml:space="preserve">2026-01-09 21:48:00</t>
  </si>
  <si>
    <t xml:space="preserve">2026-01-04 20:41:00</t>
  </si>
  <si>
    <t xml:space="preserve">2026-01-15 1:37:00</t>
  </si>
  <si>
    <t xml:space="preserve">2026-01-30 9:20:00</t>
  </si>
  <si>
    <t xml:space="preserve">2026-01-05 17:56:00</t>
  </si>
  <si>
    <t xml:space="preserve">2026-01-30 8:53:00</t>
  </si>
  <si>
    <t xml:space="preserve">2026-01-26 9:47:00</t>
  </si>
  <si>
    <t xml:space="preserve">2026-01-03 4:48:00</t>
  </si>
  <si>
    <t xml:space="preserve">2026-01-12 2:50:00</t>
  </si>
  <si>
    <t xml:space="preserve">2026-01-18 3:29:00</t>
  </si>
  <si>
    <t xml:space="preserve">2026-01-13 20:23:00</t>
  </si>
  <si>
    <t xml:space="preserve">2026-01-01 19:56:00</t>
  </si>
  <si>
    <t xml:space="preserve">2026-01-10 20:26:00</t>
  </si>
  <si>
    <t xml:space="preserve">2026-01-02 9:31:00</t>
  </si>
  <si>
    <t xml:space="preserve">2026-01-29 17:08:00</t>
  </si>
  <si>
    <t xml:space="preserve">2026-01-22 23:44:00</t>
  </si>
  <si>
    <t xml:space="preserve">2026-01-24 23:09:00</t>
  </si>
  <si>
    <t xml:space="preserve">2026-01-20 13:17:00</t>
  </si>
  <si>
    <t xml:space="preserve">2026-01-15 14:15:00</t>
  </si>
  <si>
    <t xml:space="preserve">2026-01-12 17:57:00</t>
  </si>
  <si>
    <t xml:space="preserve">2026-01-13 8:12:00</t>
  </si>
  <si>
    <t xml:space="preserve">2026-01-22 6:41:00</t>
  </si>
  <si>
    <t xml:space="preserve">2026-01-02 10:15:00</t>
  </si>
  <si>
    <t xml:space="preserve">2026-01-03 17:13:00</t>
  </si>
  <si>
    <t xml:space="preserve">2026-01-11 4:50:00</t>
  </si>
  <si>
    <t xml:space="preserve">2026-01-28 4:08:00</t>
  </si>
  <si>
    <t xml:space="preserve">2026-01-04 21:55:00</t>
  </si>
  <si>
    <t xml:space="preserve">2026-01-12 7:37:00</t>
  </si>
  <si>
    <t xml:space="preserve">2026-01-09 1:08:00</t>
  </si>
  <si>
    <t xml:space="preserve">2026-01-24 2:30:00</t>
  </si>
  <si>
    <t xml:space="preserve">2026-01-19 3:28:00</t>
  </si>
  <si>
    <t xml:space="preserve">2026-01-02 23:50:00</t>
  </si>
  <si>
    <t xml:space="preserve">2026-01-15 20:01:00</t>
  </si>
  <si>
    <t xml:space="preserve">2026-01-14 21:06:00</t>
  </si>
  <si>
    <t xml:space="preserve">2026-01-29 2:20:00</t>
  </si>
  <si>
    <t xml:space="preserve">2026-01-05 8:39:00</t>
  </si>
  <si>
    <t xml:space="preserve">2026-01-23 10:24:00</t>
  </si>
  <si>
    <t xml:space="preserve">2026-01-15 16:38:00</t>
  </si>
  <si>
    <t xml:space="preserve">2026-01-15 7:26:00</t>
  </si>
  <si>
    <t xml:space="preserve">2026-01-14 23:06:00</t>
  </si>
  <si>
    <t xml:space="preserve">2026-01-22 8:23:00</t>
  </si>
  <si>
    <t xml:space="preserve">2026-01-03 2:05:00</t>
  </si>
  <si>
    <t xml:space="preserve">2026-01-24 11:51:00</t>
  </si>
  <si>
    <t xml:space="preserve">2026-01-19 17:35:00</t>
  </si>
  <si>
    <t xml:space="preserve">2026-01-12 21:48:00</t>
  </si>
  <si>
    <t xml:space="preserve">2026-01-20 9:22:00</t>
  </si>
  <si>
    <t xml:space="preserve">2026-01-07 4:42:00</t>
  </si>
  <si>
    <t xml:space="preserve">2026-01-12 17:23:00</t>
  </si>
  <si>
    <t xml:space="preserve">2026-01-08 13:54:00</t>
  </si>
  <si>
    <t xml:space="preserve">2026-01-22 20:35:00</t>
  </si>
  <si>
    <t xml:space="preserve">2026-01-27 22:17:00</t>
  </si>
  <si>
    <t xml:space="preserve">2026-01-23 9:58:00</t>
  </si>
  <si>
    <t xml:space="preserve">2026-01-06 4:36:00</t>
  </si>
  <si>
    <t xml:space="preserve">2026-01-05 23:40:00</t>
  </si>
  <si>
    <t xml:space="preserve">2026-01-17 6:24:00</t>
  </si>
  <si>
    <t xml:space="preserve">2026-01-06 11:19:00</t>
  </si>
  <si>
    <t xml:space="preserve">2026-01-03 1:09:00</t>
  </si>
  <si>
    <t xml:space="preserve">2026-01-22 2:17:00</t>
  </si>
  <si>
    <t xml:space="preserve">2026-01-20 14:26:00</t>
  </si>
  <si>
    <t xml:space="preserve">2026-01-17 3:22:00</t>
  </si>
  <si>
    <t xml:space="preserve">2026-01-22 21:37:00</t>
  </si>
  <si>
    <t xml:space="preserve">2026-01-10 1:14:00</t>
  </si>
  <si>
    <t xml:space="preserve">2026-01-01 6:19:00</t>
  </si>
  <si>
    <t xml:space="preserve">2026-01-09 9:20:00</t>
  </si>
  <si>
    <t xml:space="preserve">2026-01-24 13:11:00</t>
  </si>
  <si>
    <t xml:space="preserve">2026-01-23 7:32:00</t>
  </si>
  <si>
    <t xml:space="preserve">2026-01-13 23:02:00</t>
  </si>
  <si>
    <t xml:space="preserve">2026-01-30 2:55:00</t>
  </si>
  <si>
    <t xml:space="preserve">2026-01-19 12:45:00</t>
  </si>
  <si>
    <t xml:space="preserve">2026-01-04 12:01:00</t>
  </si>
  <si>
    <t xml:space="preserve">2026-01-15 22:58:00</t>
  </si>
  <si>
    <t xml:space="preserve">2026-01-28 3:15:00</t>
  </si>
  <si>
    <t xml:space="preserve">2026-01-17 2:25:00</t>
  </si>
  <si>
    <t xml:space="preserve">2026-01-11 5:04:00</t>
  </si>
  <si>
    <t xml:space="preserve">2026-01-17 6:57:00</t>
  </si>
  <si>
    <t xml:space="preserve">2026-01-27 20:52:00</t>
  </si>
  <si>
    <t xml:space="preserve">2026-01-05 8:12:00</t>
  </si>
  <si>
    <t xml:space="preserve">2026-01-25 20:04:00</t>
  </si>
  <si>
    <t xml:space="preserve">2026-01-25 18:48:00</t>
  </si>
  <si>
    <t xml:space="preserve">2026-01-30 18:41:00</t>
  </si>
  <si>
    <t xml:space="preserve">2026-01-28 20:20:00</t>
  </si>
  <si>
    <t xml:space="preserve">2026-01-16 14:40:00</t>
  </si>
  <si>
    <t xml:space="preserve">2026-01-02 11:32:00</t>
  </si>
  <si>
    <t xml:space="preserve">2026-01-15 1:03:00</t>
  </si>
  <si>
    <t xml:space="preserve">2026-01-21 2:39:00</t>
  </si>
  <si>
    <t xml:space="preserve">2026-01-15 18:35:00</t>
  </si>
  <si>
    <t xml:space="preserve">2026-01-21 6:20:00</t>
  </si>
  <si>
    <t xml:space="preserve">2026-01-05 1:28:00</t>
  </si>
  <si>
    <t xml:space="preserve">2026-01-03 16:41:00</t>
  </si>
  <si>
    <t xml:space="preserve">2026-01-23 14:28:00</t>
  </si>
  <si>
    <t xml:space="preserve">2026-01-06 11:23:00</t>
  </si>
  <si>
    <t xml:space="preserve">2026-01-25 10:43:00</t>
  </si>
  <si>
    <t xml:space="preserve">2026-01-21 10:04:00</t>
  </si>
  <si>
    <t xml:space="preserve">2026-01-22 12:18:00</t>
  </si>
  <si>
    <t xml:space="preserve">2026-01-11 2:37:00</t>
  </si>
  <si>
    <t xml:space="preserve">2026-01-10 20:44:00</t>
  </si>
  <si>
    <t xml:space="preserve">2026-01-20 22:05:00</t>
  </si>
  <si>
    <t xml:space="preserve">2026-01-21 10:52:00</t>
  </si>
  <si>
    <t xml:space="preserve">2026-01-21 21:27:00</t>
  </si>
  <si>
    <t xml:space="preserve">2026-01-12 9:11:00</t>
  </si>
  <si>
    <t xml:space="preserve">2026-01-16 6:14:00</t>
  </si>
  <si>
    <t xml:space="preserve">2026-01-10 3:32:00</t>
  </si>
  <si>
    <t xml:space="preserve">2026-01-22 10:56:00</t>
  </si>
  <si>
    <t xml:space="preserve">2026-01-13 4:10:00</t>
  </si>
  <si>
    <t xml:space="preserve">2026-01-24 14:02:00</t>
  </si>
  <si>
    <t xml:space="preserve">2026-01-24 7:28:00</t>
  </si>
  <si>
    <t xml:space="preserve">2026-01-24 14:14:00</t>
  </si>
  <si>
    <t xml:space="preserve">2026-01-26 15:57:00</t>
  </si>
  <si>
    <t xml:space="preserve">2026-01-19 14:29:00</t>
  </si>
  <si>
    <t xml:space="preserve">2026-01-17 13:10:00</t>
  </si>
  <si>
    <t xml:space="preserve">2026-01-28 8:03:00</t>
  </si>
  <si>
    <t xml:space="preserve">2026-01-18 3:45:00</t>
  </si>
  <si>
    <t xml:space="preserve">2026-01-03 5:17:00</t>
  </si>
  <si>
    <t xml:space="preserve">2026-01-27 13:05:00</t>
  </si>
  <si>
    <t xml:space="preserve">2026-01-30 0:26:00</t>
  </si>
  <si>
    <t xml:space="preserve">2026-01-12 7:24:00</t>
  </si>
  <si>
    <t xml:space="preserve">2026-01-01 10:59:00</t>
  </si>
  <si>
    <t xml:space="preserve">2026-01-05 1:18:00</t>
  </si>
  <si>
    <t xml:space="preserve">2026-01-23 15:28:00</t>
  </si>
  <si>
    <t xml:space="preserve">2026-01-01 8:13:00</t>
  </si>
  <si>
    <t xml:space="preserve">2026-01-20 16:27:00</t>
  </si>
  <si>
    <t xml:space="preserve">2026-01-10 3:03:00</t>
  </si>
  <si>
    <t xml:space="preserve">2026-01-26 19:29:00</t>
  </si>
  <si>
    <t xml:space="preserve">2026-01-20 17:01:00</t>
  </si>
  <si>
    <t xml:space="preserve">2026-01-08 22:09:00</t>
  </si>
  <si>
    <t xml:space="preserve">2026-01-20 11:15:00</t>
  </si>
  <si>
    <t xml:space="preserve">2026-01-22 21:05:00</t>
  </si>
  <si>
    <t xml:space="preserve">2026-01-17 17:32:00</t>
  </si>
  <si>
    <t xml:space="preserve">2026-01-13 15:02:00</t>
  </si>
  <si>
    <t xml:space="preserve">2026-01-09 23:01:00</t>
  </si>
  <si>
    <t xml:space="preserve">2026-01-08 23:42:00</t>
  </si>
  <si>
    <t xml:space="preserve">2026-01-19 23:48:00</t>
  </si>
  <si>
    <t xml:space="preserve">2026-01-12 17:21:00</t>
  </si>
  <si>
    <t xml:space="preserve">2026-01-22 14:44:00</t>
  </si>
  <si>
    <t xml:space="preserve">2026-01-03 22:49:00</t>
  </si>
  <si>
    <t xml:space="preserve">2026-01-07 1:50:00</t>
  </si>
  <si>
    <t xml:space="preserve">2026-01-30 9:32:00</t>
  </si>
  <si>
    <t xml:space="preserve">2026-01-09 1:48:00</t>
  </si>
  <si>
    <t xml:space="preserve">2026-01-12 1:55:00</t>
  </si>
  <si>
    <t xml:space="preserve">2026-01-04 11:27:00</t>
  </si>
  <si>
    <t xml:space="preserve">2026-01-11 5:31:00</t>
  </si>
  <si>
    <t xml:space="preserve">2026-01-09 2:46:00</t>
  </si>
  <si>
    <t xml:space="preserve">2026-01-20 5:34:00</t>
  </si>
  <si>
    <t xml:space="preserve">2026-01-03 10:42:00</t>
  </si>
  <si>
    <t xml:space="preserve">2026-01-20 22:27:00</t>
  </si>
  <si>
    <t xml:space="preserve">2026-01-15 1:46:00</t>
  </si>
  <si>
    <t xml:space="preserve">2026-01-09 20:50:00</t>
  </si>
  <si>
    <t xml:space="preserve">2026-01-21 12:23:00</t>
  </si>
  <si>
    <t xml:space="preserve">2026-01-05 19:43:00</t>
  </si>
  <si>
    <t xml:space="preserve">2026-01-03 7:49:00</t>
  </si>
  <si>
    <t xml:space="preserve">2026-01-13 18:02:00</t>
  </si>
  <si>
    <t xml:space="preserve">2026-01-15 11:23:00</t>
  </si>
  <si>
    <t xml:space="preserve">2026-01-05 16:23:00</t>
  </si>
  <si>
    <t xml:space="preserve">2026-01-17 12:58:00</t>
  </si>
  <si>
    <t xml:space="preserve">2026-01-25 8:45:00</t>
  </si>
  <si>
    <t xml:space="preserve">2026-01-10 22:58:00</t>
  </si>
  <si>
    <t xml:space="preserve">2026-01-05 2:28:00</t>
  </si>
  <si>
    <t xml:space="preserve">2026-01-26 21:54:00</t>
  </si>
  <si>
    <t xml:space="preserve">2026-01-03 17:34:00</t>
  </si>
  <si>
    <t xml:space="preserve">2026-01-23 22:59:00</t>
  </si>
  <si>
    <t xml:space="preserve">2026-01-17 7:07:00</t>
  </si>
  <si>
    <t xml:space="preserve">2026-01-26 15:01:00</t>
  </si>
  <si>
    <t xml:space="preserve">2026-01-12 14:51:00</t>
  </si>
  <si>
    <t xml:space="preserve">2026-01-29 2:04:00</t>
  </si>
  <si>
    <t xml:space="preserve">2026-01-24 15:33:00</t>
  </si>
  <si>
    <t xml:space="preserve">2026-01-03 4:20:00</t>
  </si>
  <si>
    <t xml:space="preserve">2026-01-15 21:33:00</t>
  </si>
  <si>
    <t xml:space="preserve">2026-01-18 20:37:00</t>
  </si>
  <si>
    <t xml:space="preserve">2026-01-17 1:53:00</t>
  </si>
  <si>
    <t xml:space="preserve">2026-01-10 5:10:00</t>
  </si>
  <si>
    <t xml:space="preserve">2026-01-17 9:54:00</t>
  </si>
  <si>
    <t xml:space="preserve">2026-01-21 17:17:00</t>
  </si>
  <si>
    <t xml:space="preserve">2026-01-18 2:32:00</t>
  </si>
  <si>
    <t xml:space="preserve">2026-01-19 4:10:00</t>
  </si>
  <si>
    <t xml:space="preserve">2026-01-29 19:21:00</t>
  </si>
  <si>
    <t xml:space="preserve">2026-01-03 1:41:00</t>
  </si>
  <si>
    <t xml:space="preserve">2026-01-07 18:26:00</t>
  </si>
  <si>
    <t xml:space="preserve">2026-01-29 20:34:00</t>
  </si>
  <si>
    <t xml:space="preserve">2026-01-08 21:25:00</t>
  </si>
  <si>
    <t xml:space="preserve">2026-01-23 1:10:00</t>
  </si>
  <si>
    <t xml:space="preserve">2026-01-15 6:21:00</t>
  </si>
  <si>
    <t xml:space="preserve">2026-01-28 22:20:00</t>
  </si>
  <si>
    <t xml:space="preserve">2026-01-25 11:32:00</t>
  </si>
  <si>
    <t xml:space="preserve">2026-01-08 14:07:00</t>
  </si>
  <si>
    <t xml:space="preserve">2026-01-05 3:03:00</t>
  </si>
  <si>
    <t xml:space="preserve">2026-01-14 7:55:00</t>
  </si>
  <si>
    <t xml:space="preserve">2026-01-24 10:12:00</t>
  </si>
  <si>
    <t xml:space="preserve">2026-01-15 15:56:00</t>
  </si>
  <si>
    <t xml:space="preserve">2026-01-03 12:32:00</t>
  </si>
  <si>
    <t xml:space="preserve">2026-01-19 11:03:00</t>
  </si>
  <si>
    <t xml:space="preserve">2026-01-20 20:43:00</t>
  </si>
  <si>
    <t xml:space="preserve">2026-01-01 3:27:00</t>
  </si>
  <si>
    <t xml:space="preserve">2026-01-12 12:23:00</t>
  </si>
  <si>
    <t xml:space="preserve">2026-01-19 17:12:00</t>
  </si>
  <si>
    <t xml:space="preserve">2026-01-27 19:43:00</t>
  </si>
  <si>
    <t xml:space="preserve">2026-01-04 12:23:00</t>
  </si>
  <si>
    <t xml:space="preserve">2026-01-25 4:12:00</t>
  </si>
  <si>
    <t xml:space="preserve">2026-01-17 1:02:00</t>
  </si>
  <si>
    <t xml:space="preserve">2026-01-11 15:33:00</t>
  </si>
  <si>
    <t xml:space="preserve">2026-01-29 16:08:00</t>
  </si>
  <si>
    <t xml:space="preserve">2026-01-06 12:39:00</t>
  </si>
  <si>
    <t xml:space="preserve">2026-01-17 16:34:00</t>
  </si>
  <si>
    <t xml:space="preserve">2026-01-16 0:23:00</t>
  </si>
  <si>
    <t xml:space="preserve">2026-01-19 9:50:00</t>
  </si>
  <si>
    <t xml:space="preserve">2026-01-16 8:41:00</t>
  </si>
  <si>
    <t xml:space="preserve">2026-01-24 1:37:00</t>
  </si>
  <si>
    <t xml:space="preserve">2026-01-21 23:39:00</t>
  </si>
  <si>
    <t xml:space="preserve">2026-01-08 1:36:00</t>
  </si>
  <si>
    <t xml:space="preserve">2026-01-15 10:26:00</t>
  </si>
  <si>
    <t xml:space="preserve">2026-01-07 13:32:00</t>
  </si>
  <si>
    <t xml:space="preserve">2026-01-24 1:45:00</t>
  </si>
  <si>
    <t xml:space="preserve">2026-01-18 10:42:00</t>
  </si>
  <si>
    <t xml:space="preserve">2026-01-11 5:29:00</t>
  </si>
  <si>
    <t xml:space="preserve">2026-01-12 21:49:00</t>
  </si>
  <si>
    <t xml:space="preserve">2026-01-16 6:15:00</t>
  </si>
  <si>
    <t xml:space="preserve">2026-01-08 9:49:00</t>
  </si>
  <si>
    <t xml:space="preserve">2026-01-23 15:20:00</t>
  </si>
  <si>
    <t xml:space="preserve">2026-01-30 23:17:00</t>
  </si>
  <si>
    <t xml:space="preserve">2026-01-22 17:24:00</t>
  </si>
  <si>
    <t xml:space="preserve">2026-01-26 4:18:00</t>
  </si>
  <si>
    <t xml:space="preserve">2026-01-03 11:59:00</t>
  </si>
  <si>
    <t xml:space="preserve">2026-01-16 6:12:00</t>
  </si>
  <si>
    <t xml:space="preserve">2026-01-23 8:08:00</t>
  </si>
  <si>
    <t xml:space="preserve">2026-01-19 7:15:00</t>
  </si>
  <si>
    <t xml:space="preserve">2026-01-21 7:03:00</t>
  </si>
  <si>
    <t xml:space="preserve">2026-01-23 15:06:00</t>
  </si>
  <si>
    <t xml:space="preserve">2026-01-18 5:26:00</t>
  </si>
  <si>
    <t xml:space="preserve">2026-01-21 6:48:00</t>
  </si>
  <si>
    <t xml:space="preserve">2026-01-21 1:58:00</t>
  </si>
  <si>
    <t xml:space="preserve">2026-01-18 23:46:00</t>
  </si>
  <si>
    <t xml:space="preserve">2026-01-29 5:59:00</t>
  </si>
  <si>
    <t xml:space="preserve">2026-01-16 5:59:00</t>
  </si>
  <si>
    <t xml:space="preserve">2026-01-10 18:38:00</t>
  </si>
  <si>
    <t xml:space="preserve">2026-01-15 20:34:00</t>
  </si>
  <si>
    <t xml:space="preserve">2026-01-28 16:29:00</t>
  </si>
  <si>
    <t xml:space="preserve">2026-01-11 5:46:00</t>
  </si>
  <si>
    <t xml:space="preserve">2026-01-06 0:47:00</t>
  </si>
  <si>
    <t xml:space="preserve">2026-01-22 6:11:00</t>
  </si>
  <si>
    <t xml:space="preserve">2026-01-17 10:05:00</t>
  </si>
  <si>
    <t xml:space="preserve">2026-01-05 15:20:00</t>
  </si>
  <si>
    <t xml:space="preserve">2026-01-13 7:28:00</t>
  </si>
  <si>
    <t xml:space="preserve">2026-01-19 23:36:00</t>
  </si>
  <si>
    <t xml:space="preserve">2026-01-12 22:15:00</t>
  </si>
  <si>
    <t xml:space="preserve">2026-01-10 5:25:00</t>
  </si>
  <si>
    <t xml:space="preserve">2026-01-04 20:58:00</t>
  </si>
  <si>
    <t xml:space="preserve">2026-01-08 7:08:00</t>
  </si>
  <si>
    <t xml:space="preserve">2026-01-24 19:23:00</t>
  </si>
  <si>
    <t xml:space="preserve">2026-01-25 17:51:00</t>
  </si>
  <si>
    <t xml:space="preserve">2026-01-08 21:48:00</t>
  </si>
  <si>
    <t xml:space="preserve">2026-01-15 16:45:00</t>
  </si>
  <si>
    <t xml:space="preserve">2026-01-04 1:53:00</t>
  </si>
  <si>
    <t xml:space="preserve">2026-01-19 17:09:00</t>
  </si>
  <si>
    <t xml:space="preserve">2026-01-15 3:43:00</t>
  </si>
  <si>
    <t xml:space="preserve">2026-01-03 16:28:00</t>
  </si>
  <si>
    <t xml:space="preserve">2026-01-17 13:29:00</t>
  </si>
  <si>
    <t xml:space="preserve">2026-01-15 21:51:00</t>
  </si>
  <si>
    <t xml:space="preserve">2026-01-09 0:47:00</t>
  </si>
  <si>
    <t xml:space="preserve">2026-01-02 13:22:00</t>
  </si>
  <si>
    <t xml:space="preserve">2026-01-30 2:59:00</t>
  </si>
  <si>
    <t xml:space="preserve">2026-01-14 5:49:00</t>
  </si>
  <si>
    <t xml:space="preserve">2026-01-29 12:28:00</t>
  </si>
  <si>
    <t xml:space="preserve">2026-01-22 21:55:00</t>
  </si>
  <si>
    <t xml:space="preserve">2026-01-28 11:07:00</t>
  </si>
  <si>
    <t xml:space="preserve">2026-01-17 4:46:00</t>
  </si>
  <si>
    <t xml:space="preserve">2026-01-01 9:29:00</t>
  </si>
  <si>
    <t xml:space="preserve">2026-01-18 12:52:00</t>
  </si>
  <si>
    <t xml:space="preserve">2026-01-12 4:17:00</t>
  </si>
  <si>
    <t xml:space="preserve">2026-01-26 21:26:00</t>
  </si>
  <si>
    <t xml:space="preserve">2026-01-07 2:06:00</t>
  </si>
  <si>
    <t xml:space="preserve">2026-01-20 21:45:00</t>
  </si>
  <si>
    <t xml:space="preserve">2026-01-02 12:28:00</t>
  </si>
  <si>
    <t xml:space="preserve">2026-01-25 1:08:00</t>
  </si>
  <si>
    <t xml:space="preserve">2026-01-27 23:36:00</t>
  </si>
  <si>
    <t xml:space="preserve">2026-01-25 21:52:00</t>
  </si>
  <si>
    <t xml:space="preserve">2026-01-29 4:42:00</t>
  </si>
  <si>
    <t xml:space="preserve">2026-01-10 8:03:00</t>
  </si>
  <si>
    <t xml:space="preserve">2026-01-30 5:40:00</t>
  </si>
  <si>
    <t xml:space="preserve">2026-01-16 1:22:00</t>
  </si>
  <si>
    <t xml:space="preserve">2026-01-17 10:44:00</t>
  </si>
  <si>
    <t xml:space="preserve">2026-01-10 12:11:00</t>
  </si>
  <si>
    <t xml:space="preserve">2026-01-28 7:19:00</t>
  </si>
  <si>
    <t xml:space="preserve">2026-01-18 13:26:00</t>
  </si>
  <si>
    <t xml:space="preserve">2026-01-13 7:16:00</t>
  </si>
  <si>
    <t xml:space="preserve">2026-01-03 14:54:00</t>
  </si>
  <si>
    <t xml:space="preserve">2026-01-24 6:03:00</t>
  </si>
  <si>
    <t xml:space="preserve">2026-01-20 19:02:00</t>
  </si>
  <si>
    <t xml:space="preserve">2026-01-19 23:42:00</t>
  </si>
  <si>
    <t xml:space="preserve">2026-01-07 10:19:00</t>
  </si>
  <si>
    <t xml:space="preserve">2026-01-24 3:47:00</t>
  </si>
  <si>
    <t xml:space="preserve">2026-01-20 22:13:00</t>
  </si>
  <si>
    <t xml:space="preserve">2026-01-11 9:24:00</t>
  </si>
  <si>
    <t xml:space="preserve">2026-01-12 9:16:00</t>
  </si>
  <si>
    <t xml:space="preserve">2026-01-15 3:51:00</t>
  </si>
  <si>
    <t xml:space="preserve">2026-01-12 10:26:00</t>
  </si>
  <si>
    <t xml:space="preserve">2026-01-24 4:01:00</t>
  </si>
  <si>
    <t xml:space="preserve">2026-01-19 23:26:00</t>
  </si>
  <si>
    <t xml:space="preserve">2026-01-11 7:24:00</t>
  </si>
  <si>
    <t xml:space="preserve">2026-01-18 20:43:00</t>
  </si>
  <si>
    <t xml:space="preserve">2026-01-27 15:46:00</t>
  </si>
  <si>
    <t xml:space="preserve">2026-01-06 23:50:00</t>
  </si>
  <si>
    <t xml:space="preserve">2026-01-24 17:31:00</t>
  </si>
  <si>
    <t xml:space="preserve">2026-01-02 16:02:00</t>
  </si>
  <si>
    <t xml:space="preserve">2026-01-01 13:08:00</t>
  </si>
  <si>
    <t xml:space="preserve">2026-01-23 4:00:00</t>
  </si>
  <si>
    <t xml:space="preserve">2026-01-12 1:39:00</t>
  </si>
  <si>
    <t xml:space="preserve">2026-01-22 15:01:00</t>
  </si>
  <si>
    <t xml:space="preserve">2026-01-14 0:01:00</t>
  </si>
  <si>
    <t xml:space="preserve">2026-01-10 0:32:00</t>
  </si>
  <si>
    <t xml:space="preserve">2026-01-04 3:33:00</t>
  </si>
  <si>
    <t xml:space="preserve">2026-01-20 16:16:00</t>
  </si>
  <si>
    <t xml:space="preserve">2026-01-03 11:25:00</t>
  </si>
  <si>
    <t xml:space="preserve">2026-01-13 12:24:00</t>
  </si>
  <si>
    <t xml:space="preserve">2026-01-21 0:44:00</t>
  </si>
  <si>
    <t xml:space="preserve">2026-01-28 13:41:00</t>
  </si>
  <si>
    <t xml:space="preserve">2026-01-29 16:58:00</t>
  </si>
  <si>
    <t xml:space="preserve">2026-01-29 22:56:00</t>
  </si>
  <si>
    <t xml:space="preserve">2026-01-02 2:43:00</t>
  </si>
  <si>
    <t xml:space="preserve">2026-01-22 1:11:00</t>
  </si>
  <si>
    <t xml:space="preserve">2026-01-19 4:48:00</t>
  </si>
  <si>
    <t xml:space="preserve">2026-01-06 18:15:00</t>
  </si>
  <si>
    <t xml:space="preserve">2026-01-29 17:21:00</t>
  </si>
  <si>
    <t xml:space="preserve">2026-01-24 2:32:00</t>
  </si>
  <si>
    <t xml:space="preserve">2026-01-14 7:53:00</t>
  </si>
  <si>
    <t xml:space="preserve">2026-01-25 19:38:00</t>
  </si>
  <si>
    <t xml:space="preserve">2026-01-21 8:50:00</t>
  </si>
  <si>
    <t xml:space="preserve">2026-01-12 17:24:00</t>
  </si>
  <si>
    <t xml:space="preserve">2026-01-19 21:24:00</t>
  </si>
  <si>
    <t xml:space="preserve">2026-01-26 7:45:00</t>
  </si>
  <si>
    <t xml:space="preserve">2026-01-05 12:45:00</t>
  </si>
  <si>
    <t xml:space="preserve">2026-01-13 10:23:00</t>
  </si>
  <si>
    <t xml:space="preserve">2026-01-10 14:23:00</t>
  </si>
  <si>
    <t xml:space="preserve">2026-01-03 5:27:00</t>
  </si>
  <si>
    <t xml:space="preserve">2026-01-17 13:06:00</t>
  </si>
  <si>
    <t xml:space="preserve">2026-01-18 2:38:00</t>
  </si>
  <si>
    <t xml:space="preserve">2026-01-01 9:26:00</t>
  </si>
  <si>
    <t xml:space="preserve">2026-01-29 17:57:00</t>
  </si>
  <si>
    <t xml:space="preserve">2026-01-06 21:24:00</t>
  </si>
  <si>
    <t xml:space="preserve">2026-01-10 8:31:00</t>
  </si>
  <si>
    <t xml:space="preserve">2026-01-14 8:26:00</t>
  </si>
  <si>
    <t xml:space="preserve">2026-01-03 11:16:00</t>
  </si>
  <si>
    <t xml:space="preserve">2026-01-30 6:00:00</t>
  </si>
  <si>
    <t xml:space="preserve">2026-01-11 12:00:00</t>
  </si>
  <si>
    <t xml:space="preserve">2026-01-21 14:00:00</t>
  </si>
  <si>
    <t xml:space="preserve">2026-01-21 19:00:00</t>
  </si>
  <si>
    <t xml:space="preserve">2026-01-16 12:00:00</t>
  </si>
  <si>
    <t xml:space="preserve">2026-01-29 7:00:00</t>
  </si>
  <si>
    <t xml:space="preserve">2026-01-23 11:00:00</t>
  </si>
  <si>
    <t xml:space="preserve">2026-01-28 5:00:00</t>
  </si>
  <si>
    <t xml:space="preserve">2026-01-25 22:00:00</t>
  </si>
  <si>
    <t xml:space="preserve">2026-01-13 13:00:00</t>
  </si>
  <si>
    <t xml:space="preserve">2026-01-20 7:00:00</t>
  </si>
  <si>
    <t xml:space="preserve">2026-01-23 2:00:00</t>
  </si>
  <si>
    <t xml:space="preserve">2026-01-23 17:00:00</t>
  </si>
  <si>
    <t xml:space="preserve">2026-01-22 22:00:00</t>
  </si>
  <si>
    <t xml:space="preserve">2026-01-18 21:00:00</t>
  </si>
  <si>
    <t xml:space="preserve">2026-01-02 18:00:00</t>
  </si>
  <si>
    <t xml:space="preserve">2026-01-02 18:01:00</t>
  </si>
  <si>
    <t xml:space="preserve">2026-01-02 18:02:00</t>
  </si>
  <si>
    <t xml:space="preserve">2026-01-02 18:03:00</t>
  </si>
  <si>
    <t xml:space="preserve">2026-01-12 12:00:00</t>
  </si>
  <si>
    <t xml:space="preserve">2026-01-12 12:01:00</t>
  </si>
  <si>
    <t xml:space="preserve">2026-01-12 12:02:00</t>
  </si>
  <si>
    <t xml:space="preserve">2026-01-12 12:03:00</t>
  </si>
  <si>
    <t xml:space="preserve">2026-01-12 9:00:00</t>
  </si>
  <si>
    <t xml:space="preserve">2026-01-12 9:01:00</t>
  </si>
  <si>
    <t xml:space="preserve">2026-01-12 9:02:00</t>
  </si>
  <si>
    <t xml:space="preserve">2026-01-12 9:03:00</t>
  </si>
  <si>
    <t xml:space="preserve">2026-01-02 22:00:00</t>
  </si>
  <si>
    <t xml:space="preserve">2026-01-02 22:01:00</t>
  </si>
  <si>
    <t xml:space="preserve">2026-01-02 22:02:00</t>
  </si>
  <si>
    <t xml:space="preserve">2026-01-02 22:03:00</t>
  </si>
  <si>
    <t xml:space="preserve">2026-01-14 14:00:00</t>
  </si>
  <si>
    <t xml:space="preserve">2026-01-14 14:01:00</t>
  </si>
  <si>
    <t xml:space="preserve">2026-01-14 14:02:00</t>
  </si>
  <si>
    <t xml:space="preserve">2026-01-14 14:03:00</t>
  </si>
  <si>
    <t xml:space="preserve">2026-01-01 22:00:00</t>
  </si>
  <si>
    <t xml:space="preserve">2026-01-01 22:01:00</t>
  </si>
  <si>
    <t xml:space="preserve">2026-01-01 22:02:00</t>
  </si>
  <si>
    <t xml:space="preserve">2026-01-01 22:03:00</t>
  </si>
  <si>
    <t xml:space="preserve">2026-01-09 21:00:00</t>
  </si>
  <si>
    <t xml:space="preserve">2026-01-09 21:01:00</t>
  </si>
  <si>
    <t xml:space="preserve">2026-01-09 21:02:00</t>
  </si>
  <si>
    <t xml:space="preserve">2026-01-09 21:03:00</t>
  </si>
  <si>
    <t xml:space="preserve">2026-01-23 9:00:00</t>
  </si>
  <si>
    <t xml:space="preserve">2026-01-23 9:01:00</t>
  </si>
  <si>
    <t xml:space="preserve">2026-01-23 9:02:00</t>
  </si>
  <si>
    <t xml:space="preserve">2026-01-23 9:03:00</t>
  </si>
  <si>
    <t xml:space="preserve">SUM of amount_inr</t>
  </si>
  <si>
    <t xml:space="preserve">COUNTA of merchant_name</t>
  </si>
  <si>
    <t>2026-01-05</t>
  </si>
  <si>
    <t>2026-01-06</t>
  </si>
  <si>
    <t>2026-01-09</t>
  </si>
  <si>
    <t>2026-01-11</t>
  </si>
  <si>
    <t>2026-01-12</t>
  </si>
  <si>
    <t>2026-01-17</t>
  </si>
  <si>
    <t>2026-01-23</t>
  </si>
  <si>
    <t>2026-01-07</t>
  </si>
  <si>
    <t>2026-01-08</t>
  </si>
  <si>
    <t>2026-01-13</t>
  </si>
  <si>
    <t>2026-01-15</t>
  </si>
  <si>
    <t>2026-01-19</t>
  </si>
  <si>
    <t>2026-01-22</t>
  </si>
  <si>
    <t>2026-01-26</t>
  </si>
  <si>
    <t>2026-01-30</t>
  </si>
  <si>
    <t>2026-01-03</t>
  </si>
  <si>
    <t>2026-01-16</t>
  </si>
  <si>
    <t>2026-01-20</t>
  </si>
  <si>
    <t>2026-01-29</t>
  </si>
  <si>
    <t>2026-01-02</t>
  </si>
  <si>
    <t>2026-01-24</t>
  </si>
  <si>
    <t>2026-01-25</t>
  </si>
  <si>
    <t>2026-01-01</t>
  </si>
  <si>
    <t>2026-01-10</t>
  </si>
  <si>
    <t>2026-01-18</t>
  </si>
  <si>
    <t>2026-01-21</t>
  </si>
  <si>
    <t>2026-01-27</t>
  </si>
  <si>
    <t>2026-01-04</t>
  </si>
  <si>
    <t>2026-01-14</t>
  </si>
  <si>
    <t>2026-01-28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</si>
</sst>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5">
    <font>
      <sz val="10.000000"/>
      <name val="Arial"/>
      <scheme val="minor"/>
    </font>
    <font>
      <b/>
      <sz val="10.000000"/>
      <color theme="1"/>
      <name val="Arial"/>
    </font>
    <font>
      <sz val="10.000000"/>
      <color theme="1"/>
      <name val="Arial"/>
    </font>
    <font>
      <b/>
      <sz val="10.000000"/>
      <color theme="1"/>
      <name val="Arial"/>
      <scheme val="minor"/>
    </font>
    <font>
      <sz val="10.00000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 style="none"/>
      <right style="none"/>
      <top style="none"/>
      <bottom style="none"/>
      <diagonal style="none"/>
    </border>
    <border>
      <left style="thin">
        <color rgb="FFABABAB"/>
      </left>
      <right style="none"/>
      <top style="thin">
        <color rgb="FFABABAB"/>
      </top>
      <bottom style="none"/>
      <diagonal style="none"/>
    </border>
    <border>
      <left style="thin">
        <color indexed="65"/>
      </left>
      <right style="none"/>
      <top style="thin">
        <color rgb="FFABABAB"/>
      </top>
      <bottom style="none"/>
      <diagonal style="none"/>
    </border>
    <border>
      <left style="thin">
        <color indexed="65"/>
      </left>
      <right style="thin">
        <color rgb="FFABABAB"/>
      </right>
      <top style="thin">
        <color rgb="FFABABAB"/>
      </top>
      <bottom style="none"/>
      <diagonal style="none"/>
    </border>
    <border>
      <left style="thin">
        <color rgb="FFABABAB"/>
      </left>
      <right style="none"/>
      <top style="thin">
        <color indexed="65"/>
      </top>
      <bottom style="none"/>
      <diagonal style="none"/>
    </border>
    <border>
      <left style="none"/>
      <right style="none"/>
      <top style="thin">
        <color rgb="FFABABAB"/>
      </top>
      <bottom style="none"/>
      <diagonal style="none"/>
    </border>
    <border>
      <left style="none"/>
      <right style="thin">
        <color rgb="FFABABAB"/>
      </right>
      <top style="thin">
        <color rgb="FFABABAB"/>
      </top>
      <bottom style="none"/>
      <diagonal style="none"/>
    </border>
    <border>
      <left style="thin">
        <color rgb="FFABABAB"/>
      </left>
      <right style="none"/>
      <top style="none"/>
      <bottom style="none"/>
      <diagonal style="none"/>
    </border>
    <border>
      <left style="none"/>
      <right style="thin">
        <color rgb="FFABABAB"/>
      </right>
      <top style="none"/>
      <bottom style="none"/>
      <diagonal style="none"/>
    </border>
    <border>
      <left style="thin">
        <color rgb="FFABABAB"/>
      </left>
      <right style="none"/>
      <top style="thin">
        <color rgb="FFABABAB"/>
      </top>
      <bottom style="thin">
        <color rgb="FFABABAB"/>
      </bottom>
      <diagonal style="none"/>
    </border>
    <border>
      <left style="none"/>
      <right style="none"/>
      <top style="thin">
        <color rgb="FFABABAB"/>
      </top>
      <bottom style="thin">
        <color rgb="FFABABAB"/>
      </bottom>
      <diagonal style="none"/>
    </border>
    <border>
      <left style="none"/>
      <right style="thin">
        <color rgb="FFABABAB"/>
      </right>
      <top style="thin">
        <color rgb="FFABABAB"/>
      </top>
      <bottom style="thin">
        <color rgb="FFABABAB"/>
      </bottom>
      <diagonal style="none"/>
    </border>
    <border>
      <left style="thin">
        <color indexed="65"/>
      </left>
      <right style="none"/>
      <top style="thin">
        <color rgb="FFABABAB"/>
      </top>
      <bottom style="thin">
        <color rgb="FFABABAB"/>
      </bottom>
      <diagonal style="none"/>
    </border>
  </borders>
  <cellStyleXfs count="1">
    <xf fontId="0" fillId="0" borderId="0" numFmtId="0" applyNumberFormat="1" applyFont="1" applyFill="1" applyBorder="1"/>
  </cellStyleXfs>
  <cellXfs count="29">
    <xf fontId="0" fillId="0" borderId="0" numFmtId="0" xfId="0"/>
    <xf fontId="1" fillId="0" borderId="0" numFmtId="0" xfId="0" applyFont="1"/>
    <xf fontId="2" fillId="0" borderId="0" numFmtId="0" xfId="0" applyFont="1" applyAlignment="1">
      <alignment horizontal="right"/>
    </xf>
    <xf fontId="2" fillId="0" borderId="0" numFmtId="0" xfId="0" applyFont="1"/>
    <xf fontId="3" fillId="0" borderId="0" numFmtId="0" xfId="0" applyFont="1"/>
    <xf fontId="2" fillId="0" borderId="0" numFmtId="164" xfId="0" applyNumberFormat="1" applyFont="1" applyAlignment="1">
      <alignment horizontal="right"/>
    </xf>
    <xf fontId="4" fillId="0" borderId="0" numFmtId="0" xfId="0" applyFont="1"/>
    <xf fontId="4" fillId="0" borderId="0" numFmtId="0" xfId="0" applyFont="1" applyAlignment="1">
      <alignment horizontal="center"/>
    </xf>
    <xf fontId="2" fillId="0" borderId="0" numFmtId="49" xfId="0" applyNumberFormat="1" applyFont="1" applyAlignment="1">
      <alignment horizontal="right"/>
    </xf>
    <xf fontId="4" fillId="0" borderId="0" numFmtId="4" xfId="0" applyNumberFormat="1" applyFont="1"/>
    <xf fontId="4" fillId="0" borderId="0" numFmtId="10" xfId="0" applyNumberFormat="1" applyFont="1" applyAlignment="1">
      <alignment horizontal="center"/>
    </xf>
    <xf fontId="0" fillId="0" borderId="1" numFmtId="0" xfId="0" applyBorder="1"/>
    <xf fontId="0" fillId="0" borderId="1" numFmtId="0" xfId="0" applyBorder="1" pivotButton="1"/>
    <xf fontId="0" fillId="0" borderId="2" numFmtId="0" xfId="0" applyBorder="1" pivotButton="1"/>
    <xf fontId="0" fillId="0" borderId="2" numFmtId="0" xfId="0" applyBorder="1"/>
    <xf fontId="0" fillId="0" borderId="3" numFmtId="0" xfId="0" applyBorder="1"/>
    <xf fontId="0" fillId="0" borderId="0" numFmtId="0" xfId="0" pivotButton="1"/>
    <xf fontId="0" fillId="0" borderId="4" numFmtId="0" xfId="0" applyBorder="1"/>
    <xf fontId="0" fillId="0" borderId="0" numFmtId="0" xfId="0" applyAlignment="1">
      <alignment horizontal="left"/>
    </xf>
    <xf fontId="0" fillId="0" borderId="0" numFmtId="0" xfId="0"/>
    <xf fontId="0" fillId="0" borderId="5" numFmtId="0" xfId="0" applyBorder="1"/>
    <xf fontId="0" fillId="0" borderId="6" numFmtId="0" xfId="0" applyBorder="1"/>
    <xf fontId="0" fillId="0" borderId="7" numFmtId="0" xfId="0" applyBorder="1"/>
    <xf fontId="0" fillId="0" borderId="8" numFmtId="0" xfId="0" applyBorder="1"/>
    <xf fontId="0" fillId="0" borderId="9" numFmtId="0" xfId="0" applyBorder="1"/>
    <xf fontId="0" fillId="0" borderId="10" numFmtId="0" xfId="0" applyBorder="1"/>
    <xf fontId="0" fillId="0" borderId="11" numFmtId="0" xfId="0" applyBorder="1"/>
    <xf fontId="4" fillId="0" borderId="0" numFmtId="49" xfId="0" applyNumberFormat="1" applyFont="1"/>
    <xf fontId="0" fillId="0" borderId="12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10" Type="http://schemas.openxmlformats.org/officeDocument/2006/relationships/styles" Target="styles.xml"/><Relationship  Id="rId2" Type="http://schemas.openxmlformats.org/officeDocument/2006/relationships/pivotCacheDefinition" Target="pivotCache/pivotCacheDefinition2.xml"/><Relationship  Id="rId3" Type="http://schemas.openxmlformats.org/officeDocument/2006/relationships/connections" Target="connections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worksheet" Target="worksheets/sheet3.xml"/><Relationship  Id="rId7" Type="http://schemas.openxmlformats.org/officeDocument/2006/relationships/worksheet" Target="worksheets/sheet4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Prashant" refreshedDate="46248.85239988426" refreshedVersion="8" recordCount="547">
  <cacheSource type="worksheet">
    <worksheetSource ref="A1:M548" sheet="merchant_workbook"/>
  </cacheSource>
  <cacheFields count="13">
    <cacheField name="transaction_id" numFmtId="0">
      <sharedItems/>
    </cacheField>
    <cacheField name="user_id" numFmtId="0">
      <sharedItems containsSemiMixedTypes="0" containsString="0" containsNumber="1" containsInteger="1" minValue="1" maxValue="365"/>
    </cacheField>
    <cacheField name="merchant_id" numFmtId="0">
      <sharedItems containsSemiMixedTypes="0" containsString="0" containsNumber="1" containsInteger="1" minValue="1" maxValue="40" count="40">
        <n v="16"/>
        <n v="27"/>
        <n v="11"/>
        <n v="22"/>
        <n v="3"/>
        <n v="23"/>
        <n v="13"/>
        <n v="18"/>
        <n v="35"/>
        <n v="12"/>
        <n v="28"/>
        <n v="3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24"/>
        <n v="5"/>
        <n v="32"/>
        <n v="10"/>
        <n v="38"/>
        <n v="34"/>
        <n v="1"/>
        <n v="39"/>
        <n v="9"/>
      </sharedItems>
    </cacheField>
    <cacheField name="transaction_time" numFmtId="49">
      <sharedItems/>
    </cacheField>
    <cacheField name="transaction_date" numFmtId="0">
      <sharedItems count="30">
        <s v="2026-01-29"/>
        <s v="2026-01-04"/>
        <s v="2026-01-24"/>
        <s v="2026-01-30"/>
        <s v="2026-01-06"/>
        <s v="2026-01-08"/>
        <s v="2026-01-27"/>
        <s v="2026-01-11"/>
        <s v="2026-01-21"/>
        <s v="2026-01-01"/>
        <s v="2026-01-09"/>
        <s v="2026-01-13"/>
        <s v="2026-01-14"/>
        <s v="2026-01-22"/>
        <s v="2026-01-05"/>
        <s v="2026-01-18"/>
        <s v="2026-01-26"/>
        <s v="2026-01-15"/>
        <s v="2026-01-17"/>
        <s v="2026-01-28"/>
        <s v="2026-01-23"/>
        <s v="2026-01-25"/>
        <s v="2026-01-02"/>
        <s v="2026-01-19"/>
        <s v="2026-01-16"/>
        <s v="2026-01-07"/>
        <s v="2026-01-20"/>
        <s v="2026-01-10"/>
        <s v="2026-01-12"/>
        <s v="2026-01-03"/>
      </sharedItems>
    </cacheField>
    <cacheField name="amount_inr" numFmtId="0">
      <sharedItems containsSemiMixedTypes="0" containsString="0" containsNumber="1" containsInteger="1" minValue="49" maxValue="4999"/>
    </cacheField>
    <cacheField name="payment_method" numFmtId="0">
      <sharedItems/>
    </cacheField>
    <cacheField name="status" numFmtId="0">
      <sharedItems count="3">
        <s v="captured"/>
        <s v="failed"/>
        <s v="chargeback"/>
      </sharedItems>
    </cacheField>
    <cacheField name="risk_score" numFmtId="0">
      <sharedItems containsSemiMixedTypes="0" containsString="0" containsNumber="1" containsInteger="1" minValue="0" maxValue="100"/>
    </cacheField>
    <cacheField name="merchant_name" numFmtId="0">
      <sharedItems count="41"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  <e v="#NAME?" u="1"/>
      </sharedItems>
    </cacheField>
    <cacheField name="category" numFmtId="0">
      <sharedItems/>
    </cacheField>
    <cacheField name="region" numFmtId="0">
      <sharedItems/>
    </cacheField>
    <cacheField name="MDR_fee" numFmtId="4">
      <sharedItems containsSemiMixedTypes="0" containsString="0" containsNumber="1" minValue="0" maxValue="99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Prashant" refreshedDate="46248.85496585648" backgroundQuery="1" createdVersion="8" refreshedVersion="8" minRefreshableVersion="3" supportSubquery="1" supportAdvancedDrill="1">
  <cacheSource type="external" connectionId="1"/>
  <cacheFields count="3">
    <cacheField name="[Range].[merchant_name].[merchant_name]" caption="merchant_name" numFmtId="0" hierarchy="9" level="1">
      <sharedItems count="40">
        <s v="Merchant_001"/>
        <s v="Merchant_002"/>
        <s v="Merchant_003"/>
        <s v="Merchant_004"/>
        <s v="Merchant_005"/>
        <s v="Merchant_006"/>
        <s v="Merchant_007"/>
        <s v="Merchant_008"/>
        <s v="Merchant_009"/>
        <s v="Merchant_010"/>
        <s v="Merchant_011"/>
        <s v="Merchant_012"/>
        <s v="Merchant_013"/>
        <s v="Merchant_014"/>
        <s v="Merchant_015"/>
        <s v="Merchant_016"/>
        <s v="Merchant_017"/>
        <s v="Merchant_018"/>
        <s v="Merchant_019"/>
        <s v="Merchant_020"/>
        <s v="Merchant_021"/>
        <s v="Merchant_022"/>
        <s v="Merchant_023"/>
        <s v="Merchant_024"/>
        <s v="Merchant_025"/>
        <s v="Merchant_026"/>
        <s v="Merchant_027"/>
        <s v="Merchant_028"/>
        <s v="Merchant_029"/>
        <s v="Merchant_030"/>
        <s v="Merchant_031"/>
        <s v="Merchant_032"/>
        <s v="Merchant_033"/>
        <s v="Merchant_034"/>
        <s v="Merchant_035"/>
        <s v="Merchant_036"/>
        <s v="Merchant_037"/>
        <s v="Merchant_038"/>
        <s v="Merchant_039"/>
        <s v="Merchant_040"/>
      </sharedItems>
    </cacheField>
    <cacheField name="[Measures].[Distinct Count of transaction_date]" caption="Distinct Count of transaction_date" numFmtId="0" hierarchy="15" level="32767"/>
    <cacheField name="[Measures].[Count of merchant_name]" caption="Count of merchant_name" numFmtId="0" hierarchy="16" level="32767"/>
  </cacheFields>
  <cacheHierarchies count="17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merchant_id]" caption="merchant_id" attribute="1" defaultMemberUniqueName="[Range].[merchant_id].[All]" allUniqueName="[Range].[merchant_id].[All]" dimensionUniqueName="[Range]" displayFolder="" count="0" memberValueDatatype="20" unbalanced="0"/>
    <cacheHierarchy uniqueName="[Range].[transaction_time]" caption="transaction_time" attribute="1" defaultMemberUniqueName="[Range].[transaction_time].[All]" allUniqueName="[Range].[transaction_time].[All]" dimensionUniqueName="[Range]" displayFolder="" count="0" memberValueDatatype="130" unbalanced="0"/>
    <cacheHierarchy uniqueName="[Range].[transaction_date]" caption="transaction_date" attribute="1" defaultMemberUniqueName="[Range].[transaction_date].[All]" allUniqueName="[Range].[transaction_date].[All]" dimensionUniqueName="[Range]" displayFolder="" count="0" memberValueDatatype="130" unbalanced="0"/>
    <cacheHierarchy uniqueName="[Range].[amount_inr]" caption="amount_inr" attribute="1" defaultMemberUniqueName="[Range].[amount_inr].[All]" allUniqueName="[Range].[amount_inr].[All]" dimensionUniqueName="[Range]" displayFolder="" count="0" memberValueDatatype="2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isk_score]" caption="risk_score" attribute="1" defaultMemberUniqueName="[Range].[risk_score].[All]" allUniqueName="[Range].[risk_score].[All]" dimensionUniqueName="[Range]" displayFolder="" count="0" memberValueDatatype="20" unbalanced="0"/>
    <cacheHierarchy uniqueName="[Range].[merchant_name]" caption="merchant_name" attribute="1" defaultMemberUniqueName="[Range].[merchant_name].[All]" allUniqueName="[Range].[merchant_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transaction_date]" caption="Count of transaction_date" measure="1" displayFolder="" measureGroup="Range" count="0" hidden="1">
      <extLst/>
    </cacheHierarchy>
    <cacheHierarchy uniqueName="[Measures].[Distinct Count of transaction_date]" caption="Distinct Count of transaction_date" measure="1" displayFolder="" measureGroup="Range" count="0" oneField="1" hidden="1">
      <fieldsUsage count="1">
        <fieldUsage x="1"/>
      </fieldsUsage>
      <extLst/>
    </cacheHierarchy>
    <cacheHierarchy uniqueName="[Measures].[Count of merchant_name]" caption="Count of merchant_name" measure="1" displayFolder="" measureGroup="Range" count="0" oneField="1" hidden="1">
      <fieldsUsage count="1">
        <fieldUsage x="2"/>
      </fieldsUsage>
      <extLst/>
    </cacheHierarchy>
  </cacheHierarchies>
  <kpis/>
  <dimensions count="true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7">
  <r>
    <s v="TXN100000"/>
    <n v="350"/>
    <x v="0"/>
    <s v="2026-01-29 11:13:00"/>
    <x v="0"/>
    <n v="2999"/>
    <s v="Wallet"/>
    <x v="0"/>
    <n v="85"/>
    <x v="0"/>
    <s v="bill_payment"/>
    <s v="West"/>
    <n v="44.985"/>
  </r>
  <r>
    <s v="TXN100001"/>
    <n v="287"/>
    <x v="1"/>
    <s v="2026-01-04 11:49:00"/>
    <x v="1"/>
    <n v="49"/>
    <s v="UPI"/>
    <x v="0"/>
    <n v="79"/>
    <x v="1"/>
    <s v="ecommerce"/>
    <s v="North"/>
    <n v="0"/>
  </r>
  <r>
    <s v="TXN100002"/>
    <n v="122"/>
    <x v="2"/>
    <s v="2026-01-24 4:59:00"/>
    <x v="2"/>
    <n v="1499"/>
    <s v="Wallet"/>
    <x v="0"/>
    <n v="22"/>
    <x v="2"/>
    <s v="ecommerce"/>
    <s v="North"/>
    <n v="22.485"/>
  </r>
  <r>
    <s v="TXN100003"/>
    <n v="92"/>
    <x v="3"/>
    <s v="2026-01-29 13:01:00"/>
    <x v="0"/>
    <n v="49"/>
    <s v="Netbanking"/>
    <x v="0"/>
    <n v="100"/>
    <x v="3"/>
    <s v="travel"/>
    <s v="South"/>
    <n v="0.49"/>
  </r>
  <r>
    <s v="TXN100004"/>
    <n v="343"/>
    <x v="0"/>
    <s v="2026-01-30 13:51:00"/>
    <x v="3"/>
    <n v="99"/>
    <s v="UPI"/>
    <x v="0"/>
    <n v="34"/>
    <x v="0"/>
    <s v="bill_payment"/>
    <s v="West"/>
    <n v="0"/>
  </r>
  <r>
    <s v="TXN100005"/>
    <n v="196"/>
    <x v="4"/>
    <s v="2026-01-06 22:06:00"/>
    <x v="4"/>
    <n v="99"/>
    <s v="UPI"/>
    <x v="0"/>
    <n v="60"/>
    <x v="4"/>
    <s v="grocery"/>
    <s v="East"/>
    <n v="0"/>
  </r>
  <r>
    <s v="TXN100006"/>
    <n v="236"/>
    <x v="5"/>
    <s v="2026-01-08 6:52:00"/>
    <x v="5"/>
    <n v="99"/>
    <s v="Wallet"/>
    <x v="0"/>
    <n v="39"/>
    <x v="5"/>
    <s v="travel"/>
    <s v="North"/>
    <n v="1.4849999999999999"/>
  </r>
  <r>
    <s v="TXN100007"/>
    <n v="13"/>
    <x v="6"/>
    <s v="2026-01-27 7:14:00"/>
    <x v="6"/>
    <n v="99"/>
    <s v="UPI"/>
    <x v="0"/>
    <n v="51"/>
    <x v="6"/>
    <s v="travel"/>
    <s v="East"/>
    <n v="0"/>
  </r>
  <r>
    <s v="TXN100008"/>
    <n v="36"/>
    <x v="7"/>
    <s v="2026-01-11 8:55:00"/>
    <x v="7"/>
    <n v="799"/>
    <s v="UPI"/>
    <x v="0"/>
    <n v="44"/>
    <x v="7"/>
    <s v="grocery"/>
    <s v="West"/>
    <n v="0"/>
  </r>
  <r>
    <s v="TXN100009"/>
    <n v="348"/>
    <x v="8"/>
    <s v="2026-01-21 16:25:00"/>
    <x v="8"/>
    <n v="299"/>
    <s v="UPI"/>
    <x v="0"/>
    <n v="42"/>
    <x v="8"/>
    <s v="recharge"/>
    <s v="East"/>
    <n v="0"/>
  </r>
  <r>
    <s v="TXN100010"/>
    <n v="134"/>
    <x v="9"/>
    <s v="2026-01-01 3:56:00"/>
    <x v="9"/>
    <n v="49"/>
    <s v="UPI"/>
    <x v="0"/>
    <n v="74"/>
    <x v="9"/>
    <s v="ecommerce"/>
    <s v="East"/>
    <n v="0"/>
  </r>
  <r>
    <s v="TXN100011"/>
    <n v="306"/>
    <x v="10"/>
    <s v="2026-01-09 1:06:00"/>
    <x v="10"/>
    <n v="2999"/>
    <s v="Card"/>
    <x v="1"/>
    <n v="44"/>
    <x v="10"/>
    <s v="ecommerce"/>
    <s v="South"/>
    <n v="59.980000000000004"/>
  </r>
  <r>
    <s v="TXN100012"/>
    <n v="311"/>
    <x v="11"/>
    <s v="2026-01-24 10:27:00"/>
    <x v="2"/>
    <n v="49"/>
    <s v="Wallet"/>
    <x v="0"/>
    <n v="14"/>
    <x v="11"/>
    <s v="bill_payment"/>
    <s v="East"/>
    <n v="0.735"/>
  </r>
  <r>
    <s v="TXN100013"/>
    <n v="131"/>
    <x v="4"/>
    <s v="2026-01-13 18:12:00"/>
    <x v="11"/>
    <n v="49"/>
    <s v="UPI"/>
    <x v="0"/>
    <n v="90"/>
    <x v="4"/>
    <s v="grocery"/>
    <s v="East"/>
    <n v="0"/>
  </r>
  <r>
    <s v="TXN100014"/>
    <n v="276"/>
    <x v="6"/>
    <s v="2026-01-14 0:33:00"/>
    <x v="12"/>
    <n v="1499"/>
    <s v="UPI"/>
    <x v="0"/>
    <n v="46"/>
    <x v="6"/>
    <s v="travel"/>
    <s v="East"/>
    <n v="0"/>
  </r>
  <r>
    <s v="TXN100015"/>
    <n v="170"/>
    <x v="12"/>
    <s v="2026-01-14 2:42:00"/>
    <x v="12"/>
    <n v="99"/>
    <s v="UPI"/>
    <x v="0"/>
    <n v="40"/>
    <x v="12"/>
    <s v="entertainment"/>
    <s v="South"/>
    <n v="0"/>
  </r>
  <r>
    <s v="TXN100016"/>
    <n v="154"/>
    <x v="11"/>
    <s v="2026-01-22 3:46:00"/>
    <x v="13"/>
    <n v="99"/>
    <s v="Netbanking"/>
    <x v="0"/>
    <n v="39"/>
    <x v="11"/>
    <s v="bill_payment"/>
    <s v="East"/>
    <n v="0.99"/>
  </r>
  <r>
    <s v="TXN100017"/>
    <n v="207"/>
    <x v="13"/>
    <s v="2026-01-22 13:20:00"/>
    <x v="13"/>
    <n v="2999"/>
    <s v="Card"/>
    <x v="0"/>
    <n v="70"/>
    <x v="13"/>
    <s v="grocery"/>
    <s v="North"/>
    <n v="59.980000000000004"/>
  </r>
  <r>
    <s v="TXN100018"/>
    <n v="341"/>
    <x v="14"/>
    <s v="2026-01-05 6:26:00"/>
    <x v="14"/>
    <n v="2999"/>
    <s v="UPI"/>
    <x v="0"/>
    <n v="86"/>
    <x v="14"/>
    <s v="travel"/>
    <s v="South"/>
    <n v="0"/>
  </r>
  <r>
    <s v="TXN100019"/>
    <n v="292"/>
    <x v="15"/>
    <s v="2026-01-24 5:39:00"/>
    <x v="2"/>
    <n v="49"/>
    <s v="UPI"/>
    <x v="0"/>
    <n v="51"/>
    <x v="15"/>
    <s v="food_delivery"/>
    <s v="East"/>
    <n v="0"/>
  </r>
  <r>
    <s v="TXN100020"/>
    <n v="147"/>
    <x v="16"/>
    <s v="2026-01-18 0:19:00"/>
    <x v="15"/>
    <n v="99"/>
    <s v="Card"/>
    <x v="0"/>
    <n v="55"/>
    <x v="16"/>
    <s v="grocery"/>
    <s v="East"/>
    <n v="1.98"/>
  </r>
  <r>
    <s v="TXN100021"/>
    <n v="336"/>
    <x v="17"/>
    <s v="2026-01-26 18:38:00"/>
    <x v="16"/>
    <n v="99"/>
    <s v="UPI"/>
    <x v="0"/>
    <n v="59"/>
    <x v="17"/>
    <s v="food_delivery"/>
    <s v="East"/>
    <n v="0"/>
  </r>
  <r>
    <s v="TXN100022"/>
    <n v="110"/>
    <x v="11"/>
    <s v="2026-01-15 14:43:00"/>
    <x v="17"/>
    <n v="799"/>
    <s v="UPI"/>
    <x v="0"/>
    <n v="60"/>
    <x v="11"/>
    <s v="bill_payment"/>
    <s v="East"/>
    <n v="0"/>
  </r>
  <r>
    <s v="TXN100023"/>
    <n v="338"/>
    <x v="18"/>
    <s v="2026-01-26 23:10:00"/>
    <x v="16"/>
    <n v="799"/>
    <s v="UPI"/>
    <x v="2"/>
    <n v="36"/>
    <x v="18"/>
    <s v="food_delivery"/>
    <s v="South"/>
    <n v="0"/>
  </r>
  <r>
    <s v="TXN100024"/>
    <n v="318"/>
    <x v="3"/>
    <s v="2026-01-17 21:40:00"/>
    <x v="18"/>
    <n v="799"/>
    <s v="Wallet"/>
    <x v="0"/>
    <n v="11"/>
    <x v="3"/>
    <s v="travel"/>
    <s v="South"/>
    <n v="11.985"/>
  </r>
  <r>
    <s v="TXN100025"/>
    <n v="159"/>
    <x v="19"/>
    <s v="2026-01-27 7:43:00"/>
    <x v="6"/>
    <n v="799"/>
    <s v="UPI"/>
    <x v="0"/>
    <n v="25"/>
    <x v="19"/>
    <s v="travel"/>
    <s v="North"/>
    <n v="0"/>
  </r>
  <r>
    <s v="TXN100026"/>
    <n v="126"/>
    <x v="20"/>
    <s v="2026-01-05 0:02:00"/>
    <x v="14"/>
    <n v="49"/>
    <s v="Card"/>
    <x v="0"/>
    <n v="78"/>
    <x v="20"/>
    <s v="bill_payment"/>
    <s v="East"/>
    <n v="0.98"/>
  </r>
  <r>
    <s v="TXN100027"/>
    <n v="213"/>
    <x v="21"/>
    <s v="2026-01-28 2:29:00"/>
    <x v="19"/>
    <n v="99"/>
    <s v="UPI"/>
    <x v="0"/>
    <n v="24"/>
    <x v="21"/>
    <s v="entertainment"/>
    <s v="South"/>
    <n v="0"/>
  </r>
  <r>
    <s v="TXN100028"/>
    <n v="254"/>
    <x v="22"/>
    <s v="2026-01-23 22:24:00"/>
    <x v="20"/>
    <n v="99"/>
    <s v="Wallet"/>
    <x v="0"/>
    <n v="31"/>
    <x v="22"/>
    <s v="food_delivery"/>
    <s v="East"/>
    <n v="1.4849999999999999"/>
  </r>
  <r>
    <s v="TXN100029"/>
    <n v="3"/>
    <x v="23"/>
    <s v="2026-01-05 20:44:00"/>
    <x v="14"/>
    <n v="1499"/>
    <s v="UPI"/>
    <x v="0"/>
    <n v="99"/>
    <x v="23"/>
    <s v="food_delivery"/>
    <s v="East"/>
    <n v="0"/>
  </r>
  <r>
    <s v="TXN100030"/>
    <n v="266"/>
    <x v="24"/>
    <s v="2026-01-14 7:11:00"/>
    <x v="12"/>
    <n v="499"/>
    <s v="Card"/>
    <x v="0"/>
    <n v="6"/>
    <x v="24"/>
    <s v="travel"/>
    <s v="West"/>
    <n v="9.98"/>
  </r>
  <r>
    <s v="TXN100031"/>
    <n v="63"/>
    <x v="24"/>
    <s v="2026-01-18 7:58:00"/>
    <x v="15"/>
    <n v="799"/>
    <s v="UPI"/>
    <x v="0"/>
    <n v="17"/>
    <x v="24"/>
    <s v="travel"/>
    <s v="West"/>
    <n v="0"/>
  </r>
  <r>
    <s v="TXN100032"/>
    <n v="272"/>
    <x v="25"/>
    <s v="2026-01-26 14:42:00"/>
    <x v="16"/>
    <n v="149"/>
    <s v="UPI"/>
    <x v="0"/>
    <n v="76"/>
    <x v="25"/>
    <s v="entertainment"/>
    <s v="East"/>
    <n v="0"/>
  </r>
  <r>
    <s v="TXN100033"/>
    <n v="259"/>
    <x v="10"/>
    <s v="2026-01-11 14:39:00"/>
    <x v="7"/>
    <n v="49"/>
    <s v="Wallet"/>
    <x v="0"/>
    <n v="70"/>
    <x v="10"/>
    <s v="ecommerce"/>
    <s v="South"/>
    <n v="0.735"/>
  </r>
  <r>
    <s v="TXN100034"/>
    <n v="244"/>
    <x v="26"/>
    <s v="2026-01-15 5:47:00"/>
    <x v="17"/>
    <n v="299"/>
    <s v="Netbanking"/>
    <x v="0"/>
    <n v="33"/>
    <x v="26"/>
    <s v="ecommerce"/>
    <s v="North"/>
    <n v="2.99"/>
  </r>
  <r>
    <s v="TXN100035"/>
    <n v="327"/>
    <x v="7"/>
    <s v="2026-01-25 7:53:00"/>
    <x v="21"/>
    <n v="149"/>
    <s v="Card"/>
    <x v="0"/>
    <n v="98"/>
    <x v="7"/>
    <s v="grocery"/>
    <s v="West"/>
    <n v="2.98"/>
  </r>
  <r>
    <s v="TXN100036"/>
    <n v="321"/>
    <x v="0"/>
    <s v="2026-01-25 16:31:00"/>
    <x v="21"/>
    <n v="49"/>
    <s v="UPI"/>
    <x v="0"/>
    <n v="35"/>
    <x v="0"/>
    <s v="bill_payment"/>
    <s v="West"/>
    <n v="0"/>
  </r>
  <r>
    <s v="TXN100037"/>
    <n v="147"/>
    <x v="0"/>
    <s v="2026-01-15 2:45:00"/>
    <x v="17"/>
    <n v="2999"/>
    <s v="Card"/>
    <x v="0"/>
    <n v="34"/>
    <x v="0"/>
    <s v="bill_payment"/>
    <s v="West"/>
    <n v="59.980000000000004"/>
  </r>
  <r>
    <s v="TXN100038"/>
    <n v="277"/>
    <x v="18"/>
    <s v="2026-01-11 10:57:00"/>
    <x v="7"/>
    <n v="1499"/>
    <s v="Card"/>
    <x v="0"/>
    <n v="17"/>
    <x v="18"/>
    <s v="food_delivery"/>
    <s v="South"/>
    <n v="29.98"/>
  </r>
  <r>
    <s v="TXN100039"/>
    <n v="79"/>
    <x v="16"/>
    <s v="2026-01-05 7:24:00"/>
    <x v="14"/>
    <n v="1499"/>
    <s v="UPI"/>
    <x v="0"/>
    <n v="8"/>
    <x v="16"/>
    <s v="grocery"/>
    <s v="East"/>
    <n v="0"/>
  </r>
  <r>
    <s v="TXN100040"/>
    <n v="278"/>
    <x v="24"/>
    <s v="2026-01-14 13:21:00"/>
    <x v="12"/>
    <n v="1499"/>
    <s v="UPI"/>
    <x v="0"/>
    <n v="53"/>
    <x v="24"/>
    <s v="travel"/>
    <s v="West"/>
    <n v="0"/>
  </r>
  <r>
    <s v="TXN100041"/>
    <n v="216"/>
    <x v="14"/>
    <s v="2026-01-02 6:53:00"/>
    <x v="22"/>
    <n v="99"/>
    <s v="UPI"/>
    <x v="0"/>
    <n v="98"/>
    <x v="14"/>
    <s v="travel"/>
    <s v="South"/>
    <n v="0"/>
  </r>
  <r>
    <s v="TXN100042"/>
    <n v="295"/>
    <x v="14"/>
    <s v="2026-01-19 22:01:00"/>
    <x v="23"/>
    <n v="1499"/>
    <s v="UPI"/>
    <x v="0"/>
    <n v="61"/>
    <x v="14"/>
    <s v="travel"/>
    <s v="South"/>
    <n v="0"/>
  </r>
  <r>
    <s v="TXN100043"/>
    <n v="200"/>
    <x v="1"/>
    <s v="2026-01-01 11:19:00"/>
    <x v="9"/>
    <n v="149"/>
    <s v="UPI"/>
    <x v="0"/>
    <n v="68"/>
    <x v="1"/>
    <s v="ecommerce"/>
    <s v="North"/>
    <n v="0"/>
  </r>
  <r>
    <s v="TXN100044"/>
    <n v="309"/>
    <x v="19"/>
    <s v="2026-01-24 23:34:00"/>
    <x v="2"/>
    <n v="99"/>
    <s v="Netbanking"/>
    <x v="0"/>
    <n v="62"/>
    <x v="19"/>
    <s v="travel"/>
    <s v="North"/>
    <n v="0.99"/>
  </r>
  <r>
    <s v="TXN100045"/>
    <n v="249"/>
    <x v="27"/>
    <s v="2026-01-08 8:27:00"/>
    <x v="5"/>
    <n v="299"/>
    <s v="Wallet"/>
    <x v="0"/>
    <n v="49"/>
    <x v="27"/>
    <s v="grocery"/>
    <s v="West"/>
    <n v="4.484999999999999"/>
  </r>
  <r>
    <s v="TXN100046"/>
    <n v="208"/>
    <x v="2"/>
    <s v="2026-01-11 21:43:00"/>
    <x v="7"/>
    <n v="4999"/>
    <s v="Netbanking"/>
    <x v="0"/>
    <n v="59"/>
    <x v="2"/>
    <s v="ecommerce"/>
    <s v="North"/>
    <n v="49.99"/>
  </r>
  <r>
    <s v="TXN100047"/>
    <n v="274"/>
    <x v="27"/>
    <s v="2026-01-30 4:39:00"/>
    <x v="3"/>
    <n v="299"/>
    <s v="UPI"/>
    <x v="0"/>
    <n v="50"/>
    <x v="27"/>
    <s v="grocery"/>
    <s v="West"/>
    <n v="0"/>
  </r>
  <r>
    <s v="TXN100048"/>
    <n v="14"/>
    <x v="18"/>
    <s v="2026-01-19 18:42:00"/>
    <x v="23"/>
    <n v="49"/>
    <s v="Wallet"/>
    <x v="0"/>
    <n v="82"/>
    <x v="18"/>
    <s v="food_delivery"/>
    <s v="South"/>
    <n v="0.735"/>
  </r>
  <r>
    <s v="TXN100049"/>
    <n v="237"/>
    <x v="9"/>
    <s v="2026-01-14 4:55:00"/>
    <x v="12"/>
    <n v="49"/>
    <s v="UPI"/>
    <x v="0"/>
    <n v="6"/>
    <x v="9"/>
    <s v="ecommerce"/>
    <s v="East"/>
    <n v="0"/>
  </r>
  <r>
    <s v="TXN100050"/>
    <n v="109"/>
    <x v="24"/>
    <s v="2026-01-09 12:20:00"/>
    <x v="10"/>
    <n v="99"/>
    <s v="UPI"/>
    <x v="0"/>
    <n v="41"/>
    <x v="24"/>
    <s v="travel"/>
    <s v="West"/>
    <n v="0"/>
  </r>
  <r>
    <s v="TXN100051"/>
    <n v="216"/>
    <x v="28"/>
    <s v="2026-01-11 12:17:00"/>
    <x v="7"/>
    <n v="4999"/>
    <s v="UPI"/>
    <x v="0"/>
    <n v="10"/>
    <x v="28"/>
    <s v="grocery"/>
    <s v="North"/>
    <n v="0"/>
  </r>
  <r>
    <s v="TXN100052"/>
    <n v="277"/>
    <x v="29"/>
    <s v="2026-01-16 0:47:00"/>
    <x v="24"/>
    <n v="799"/>
    <s v="UPI"/>
    <x v="0"/>
    <n v="44"/>
    <x v="29"/>
    <s v="ecommerce"/>
    <s v="East"/>
    <n v="0"/>
  </r>
  <r>
    <s v="TXN100053"/>
    <n v="334"/>
    <x v="4"/>
    <s v="2026-01-08 20:04:00"/>
    <x v="5"/>
    <n v="149"/>
    <s v="Wallet"/>
    <x v="0"/>
    <n v="96"/>
    <x v="4"/>
    <s v="grocery"/>
    <s v="East"/>
    <n v="2.235"/>
  </r>
  <r>
    <s v="TXN100054"/>
    <n v="11"/>
    <x v="12"/>
    <s v="2026-01-01 7:12:00"/>
    <x v="9"/>
    <n v="299"/>
    <s v="UPI"/>
    <x v="0"/>
    <n v="19"/>
    <x v="12"/>
    <s v="entertainment"/>
    <s v="South"/>
    <n v="0"/>
  </r>
  <r>
    <s v="TXN100055"/>
    <n v="343"/>
    <x v="30"/>
    <s v="2026-01-08 4:30:00"/>
    <x v="5"/>
    <n v="99"/>
    <s v="UPI"/>
    <x v="0"/>
    <n v="72"/>
    <x v="30"/>
    <s v="food_delivery"/>
    <s v="North"/>
    <n v="0"/>
  </r>
  <r>
    <s v="TXN100056"/>
    <n v="132"/>
    <x v="31"/>
    <s v="2026-01-07 14:44:00"/>
    <x v="25"/>
    <n v="299"/>
    <s v="Wallet"/>
    <x v="0"/>
    <n v="21"/>
    <x v="31"/>
    <s v="grocery"/>
    <s v="North"/>
    <n v="4.484999999999999"/>
  </r>
  <r>
    <s v="TXN100057"/>
    <n v="59"/>
    <x v="2"/>
    <s v="2026-01-20 19:47:00"/>
    <x v="26"/>
    <n v="299"/>
    <s v="UPI"/>
    <x v="0"/>
    <n v="39"/>
    <x v="2"/>
    <s v="ecommerce"/>
    <s v="North"/>
    <n v="0"/>
  </r>
  <r>
    <s v="TXN100058"/>
    <n v="160"/>
    <x v="21"/>
    <s v="2026-01-04 18:01:00"/>
    <x v="1"/>
    <n v="49"/>
    <s v="Wallet"/>
    <x v="0"/>
    <n v="86"/>
    <x v="21"/>
    <s v="entertainment"/>
    <s v="South"/>
    <n v="0.735"/>
  </r>
  <r>
    <s v="TXN100059"/>
    <n v="102"/>
    <x v="32"/>
    <s v="2026-01-30 12:25:00"/>
    <x v="3"/>
    <n v="2999"/>
    <s v="UPI"/>
    <x v="0"/>
    <n v="75"/>
    <x v="32"/>
    <s v="recharge"/>
    <s v="South"/>
    <n v="0"/>
  </r>
  <r>
    <s v="TXN100060"/>
    <n v="53"/>
    <x v="15"/>
    <s v="2026-01-23 20:15:00"/>
    <x v="20"/>
    <n v="49"/>
    <s v="Netbanking"/>
    <x v="0"/>
    <n v="87"/>
    <x v="15"/>
    <s v="food_delivery"/>
    <s v="East"/>
    <n v="0.49"/>
  </r>
  <r>
    <s v="TXN100061"/>
    <n v="290"/>
    <x v="4"/>
    <s v="2026-01-20 3:50:00"/>
    <x v="26"/>
    <n v="99"/>
    <s v="Wallet"/>
    <x v="0"/>
    <n v="44"/>
    <x v="4"/>
    <s v="grocery"/>
    <s v="East"/>
    <n v="1.4849999999999999"/>
  </r>
  <r>
    <s v="TXN100062"/>
    <n v="190"/>
    <x v="32"/>
    <s v="2026-01-18 13:42:00"/>
    <x v="15"/>
    <n v="299"/>
    <s v="UPI"/>
    <x v="0"/>
    <n v="64"/>
    <x v="32"/>
    <s v="recharge"/>
    <s v="South"/>
    <n v="0"/>
  </r>
  <r>
    <s v="TXN100063"/>
    <n v="216"/>
    <x v="33"/>
    <s v="2026-01-21 10:00:00"/>
    <x v="8"/>
    <n v="49"/>
    <s v="Card"/>
    <x v="0"/>
    <n v="13"/>
    <x v="33"/>
    <s v="food_delivery"/>
    <s v="West"/>
    <n v="0.98"/>
  </r>
  <r>
    <s v="TXN100064"/>
    <n v="236"/>
    <x v="34"/>
    <s v="2026-01-14 11:40:00"/>
    <x v="12"/>
    <n v="499"/>
    <s v="UPI"/>
    <x v="0"/>
    <n v="55"/>
    <x v="34"/>
    <s v="grocery"/>
    <s v="West"/>
    <n v="0"/>
  </r>
  <r>
    <s v="TXN100065"/>
    <n v="334"/>
    <x v="7"/>
    <s v="2026-01-06 23:33:00"/>
    <x v="4"/>
    <n v="499"/>
    <s v="Card"/>
    <x v="0"/>
    <n v="78"/>
    <x v="7"/>
    <s v="grocery"/>
    <s v="West"/>
    <n v="9.98"/>
  </r>
  <r>
    <s v="TXN100066"/>
    <n v="248"/>
    <x v="24"/>
    <s v="2026-01-26 17:49:00"/>
    <x v="16"/>
    <n v="799"/>
    <s v="Wallet"/>
    <x v="0"/>
    <n v="55"/>
    <x v="24"/>
    <s v="travel"/>
    <s v="West"/>
    <n v="11.985"/>
  </r>
  <r>
    <s v="TXN100067"/>
    <n v="138"/>
    <x v="17"/>
    <s v="2026-01-27 23:37:00"/>
    <x v="6"/>
    <n v="49"/>
    <s v="Card"/>
    <x v="0"/>
    <n v="31"/>
    <x v="17"/>
    <s v="food_delivery"/>
    <s v="East"/>
    <n v="0.98"/>
  </r>
  <r>
    <s v="TXN100068"/>
    <n v="231"/>
    <x v="0"/>
    <s v="2026-01-27 2:17:00"/>
    <x v="6"/>
    <n v="49"/>
    <s v="UPI"/>
    <x v="0"/>
    <n v="96"/>
    <x v="0"/>
    <s v="bill_payment"/>
    <s v="West"/>
    <n v="0"/>
  </r>
  <r>
    <s v="TXN100069"/>
    <n v="343"/>
    <x v="14"/>
    <s v="2026-01-15 18:39:00"/>
    <x v="17"/>
    <n v="49"/>
    <s v="UPI"/>
    <x v="0"/>
    <n v="43"/>
    <x v="14"/>
    <s v="travel"/>
    <s v="South"/>
    <n v="0"/>
  </r>
  <r>
    <s v="TXN100070"/>
    <n v="167"/>
    <x v="9"/>
    <s v="2026-01-01 15:54:00"/>
    <x v="9"/>
    <n v="499"/>
    <s v="Wallet"/>
    <x v="0"/>
    <n v="62"/>
    <x v="9"/>
    <s v="ecommerce"/>
    <s v="East"/>
    <n v="7.484999999999999"/>
  </r>
  <r>
    <s v="TXN100071"/>
    <n v="133"/>
    <x v="3"/>
    <s v="2026-01-07 11:51:00"/>
    <x v="25"/>
    <n v="499"/>
    <s v="UPI"/>
    <x v="0"/>
    <n v="35"/>
    <x v="3"/>
    <s v="travel"/>
    <s v="South"/>
    <n v="0"/>
  </r>
  <r>
    <s v="TXN100072"/>
    <n v="142"/>
    <x v="25"/>
    <s v="2026-01-29 19:44:00"/>
    <x v="0"/>
    <n v="799"/>
    <s v="Wallet"/>
    <x v="0"/>
    <n v="1"/>
    <x v="25"/>
    <s v="entertainment"/>
    <s v="East"/>
    <n v="11.985"/>
  </r>
  <r>
    <s v="TXN100073"/>
    <n v="124"/>
    <x v="1"/>
    <s v="2026-01-17 6:05:00"/>
    <x v="18"/>
    <n v="499"/>
    <s v="Wallet"/>
    <x v="0"/>
    <n v="62"/>
    <x v="1"/>
    <s v="ecommerce"/>
    <s v="North"/>
    <n v="7.484999999999999"/>
  </r>
  <r>
    <s v="TXN100074"/>
    <n v="244"/>
    <x v="33"/>
    <s v="2026-01-18 7:44:00"/>
    <x v="15"/>
    <n v="149"/>
    <s v="UPI"/>
    <x v="0"/>
    <n v="57"/>
    <x v="33"/>
    <s v="food_delivery"/>
    <s v="West"/>
    <n v="0"/>
  </r>
  <r>
    <s v="TXN100075"/>
    <n v="151"/>
    <x v="19"/>
    <s v="2026-01-26 0:05:00"/>
    <x v="16"/>
    <n v="4999"/>
    <s v="UPI"/>
    <x v="0"/>
    <n v="51"/>
    <x v="19"/>
    <s v="travel"/>
    <s v="North"/>
    <n v="0"/>
  </r>
  <r>
    <s v="TXN100076"/>
    <n v="340"/>
    <x v="35"/>
    <s v="2026-01-23 7:19:00"/>
    <x v="20"/>
    <n v="499"/>
    <s v="Card"/>
    <x v="0"/>
    <n v="47"/>
    <x v="35"/>
    <s v="grocery"/>
    <s v="East"/>
    <n v="9.98"/>
  </r>
  <r>
    <s v="TXN100077"/>
    <n v="177"/>
    <x v="10"/>
    <s v="2026-01-16 17:33:00"/>
    <x v="24"/>
    <n v="299"/>
    <s v="UPI"/>
    <x v="0"/>
    <n v="95"/>
    <x v="10"/>
    <s v="ecommerce"/>
    <s v="South"/>
    <n v="0"/>
  </r>
  <r>
    <s v="TXN100078"/>
    <n v="233"/>
    <x v="7"/>
    <s v="2026-01-18 10:22:00"/>
    <x v="15"/>
    <n v="499"/>
    <s v="UPI"/>
    <x v="0"/>
    <n v="39"/>
    <x v="7"/>
    <s v="grocery"/>
    <s v="West"/>
    <n v="0"/>
  </r>
  <r>
    <s v="TXN100079"/>
    <n v="99"/>
    <x v="17"/>
    <s v="2026-01-09 7:07:00"/>
    <x v="10"/>
    <n v="499"/>
    <s v="UPI"/>
    <x v="0"/>
    <n v="15"/>
    <x v="17"/>
    <s v="food_delivery"/>
    <s v="East"/>
    <n v="0"/>
  </r>
  <r>
    <s v="TXN100080"/>
    <n v="95"/>
    <x v="6"/>
    <s v="2026-01-24 17:48:00"/>
    <x v="2"/>
    <n v="2999"/>
    <s v="Netbanking"/>
    <x v="1"/>
    <n v="27"/>
    <x v="6"/>
    <s v="travel"/>
    <s v="East"/>
    <n v="29.990000000000002"/>
  </r>
  <r>
    <s v="TXN100081"/>
    <n v="302"/>
    <x v="36"/>
    <s v="2026-01-24 15:17:00"/>
    <x v="2"/>
    <n v="49"/>
    <s v="Netbanking"/>
    <x v="0"/>
    <n v="76"/>
    <x v="36"/>
    <s v="travel"/>
    <s v="South"/>
    <n v="0.49"/>
  </r>
  <r>
    <s v="TXN100082"/>
    <n v="100"/>
    <x v="13"/>
    <s v="2026-01-10 3:53:00"/>
    <x v="27"/>
    <n v="2999"/>
    <s v="Netbanking"/>
    <x v="0"/>
    <n v="29"/>
    <x v="13"/>
    <s v="grocery"/>
    <s v="North"/>
    <n v="29.990000000000002"/>
  </r>
  <r>
    <s v="TXN100083"/>
    <n v="8"/>
    <x v="8"/>
    <s v="2026-01-12 5:19:00"/>
    <x v="28"/>
    <n v="99"/>
    <s v="UPI"/>
    <x v="0"/>
    <n v="16"/>
    <x v="8"/>
    <s v="recharge"/>
    <s v="East"/>
    <n v="0"/>
  </r>
  <r>
    <s v="TXN100084"/>
    <n v="284"/>
    <x v="13"/>
    <s v="2026-01-09 1:03:00"/>
    <x v="10"/>
    <n v="99"/>
    <s v="UPI"/>
    <x v="0"/>
    <n v="89"/>
    <x v="13"/>
    <s v="grocery"/>
    <s v="North"/>
    <n v="0"/>
  </r>
  <r>
    <s v="TXN100085"/>
    <n v="252"/>
    <x v="23"/>
    <s v="2026-01-05 20:55:00"/>
    <x v="14"/>
    <n v="2999"/>
    <s v="Wallet"/>
    <x v="0"/>
    <n v="1"/>
    <x v="23"/>
    <s v="food_delivery"/>
    <s v="East"/>
    <n v="44.985"/>
  </r>
  <r>
    <s v="TXN100086"/>
    <n v="246"/>
    <x v="26"/>
    <s v="2026-01-19 9:30:00"/>
    <x v="23"/>
    <n v="49"/>
    <s v="Wallet"/>
    <x v="0"/>
    <n v="43"/>
    <x v="26"/>
    <s v="ecommerce"/>
    <s v="North"/>
    <n v="0.735"/>
  </r>
  <r>
    <s v="TXN100087"/>
    <n v="245"/>
    <x v="30"/>
    <s v="2026-01-06 1:16:00"/>
    <x v="4"/>
    <n v="49"/>
    <s v="UPI"/>
    <x v="2"/>
    <n v="8"/>
    <x v="30"/>
    <s v="food_delivery"/>
    <s v="North"/>
    <n v="0"/>
  </r>
  <r>
    <s v="TXN100088"/>
    <n v="296"/>
    <x v="29"/>
    <s v="2026-01-13 15:04:00"/>
    <x v="11"/>
    <n v="799"/>
    <s v="Wallet"/>
    <x v="0"/>
    <n v="19"/>
    <x v="29"/>
    <s v="ecommerce"/>
    <s v="East"/>
    <n v="11.985"/>
  </r>
  <r>
    <s v="TXN100089"/>
    <n v="44"/>
    <x v="0"/>
    <s v="2026-01-05 18:19:00"/>
    <x v="14"/>
    <n v="149"/>
    <s v="UPI"/>
    <x v="0"/>
    <n v="15"/>
    <x v="0"/>
    <s v="bill_payment"/>
    <s v="West"/>
    <n v="0"/>
  </r>
  <r>
    <s v="TXN100090"/>
    <n v="306"/>
    <x v="12"/>
    <s v="2026-01-18 13:38:00"/>
    <x v="15"/>
    <n v="799"/>
    <s v="Card"/>
    <x v="0"/>
    <n v="28"/>
    <x v="12"/>
    <s v="entertainment"/>
    <s v="South"/>
    <n v="15.98"/>
  </r>
  <r>
    <s v="TXN100091"/>
    <n v="231"/>
    <x v="26"/>
    <s v="2026-01-25 16:24:00"/>
    <x v="21"/>
    <n v="299"/>
    <s v="UPI"/>
    <x v="0"/>
    <n v="38"/>
    <x v="26"/>
    <s v="ecommerce"/>
    <s v="North"/>
    <n v="0"/>
  </r>
  <r>
    <s v="TXN100092"/>
    <n v="157"/>
    <x v="21"/>
    <s v="2026-01-28 18:27:00"/>
    <x v="19"/>
    <n v="499"/>
    <s v="Wallet"/>
    <x v="0"/>
    <n v="79"/>
    <x v="21"/>
    <s v="entertainment"/>
    <s v="South"/>
    <n v="7.484999999999999"/>
  </r>
  <r>
    <s v="TXN100093"/>
    <n v="51"/>
    <x v="16"/>
    <s v="2026-01-02 19:47:00"/>
    <x v="22"/>
    <n v="1499"/>
    <s v="UPI"/>
    <x v="0"/>
    <n v="80"/>
    <x v="16"/>
    <s v="grocery"/>
    <s v="East"/>
    <n v="0"/>
  </r>
  <r>
    <s v="TXN100094"/>
    <n v="42"/>
    <x v="2"/>
    <s v="2026-01-07 8:42:00"/>
    <x v="25"/>
    <n v="49"/>
    <s v="Wallet"/>
    <x v="0"/>
    <n v="30"/>
    <x v="2"/>
    <s v="ecommerce"/>
    <s v="North"/>
    <n v="0.735"/>
  </r>
  <r>
    <s v="TXN100095"/>
    <n v="81"/>
    <x v="37"/>
    <s v="2026-01-06 17:04:00"/>
    <x v="4"/>
    <n v="149"/>
    <s v="UPI"/>
    <x v="0"/>
    <n v="52"/>
    <x v="37"/>
    <s v="ecommerce"/>
    <s v="South"/>
    <n v="0"/>
  </r>
  <r>
    <s v="TXN100096"/>
    <n v="241"/>
    <x v="13"/>
    <s v="2026-01-15 22:38:00"/>
    <x v="17"/>
    <n v="299"/>
    <s v="UPI"/>
    <x v="0"/>
    <n v="4"/>
    <x v="13"/>
    <s v="grocery"/>
    <s v="North"/>
    <n v="0"/>
  </r>
  <r>
    <s v="TXN100097"/>
    <n v="145"/>
    <x v="24"/>
    <s v="2026-01-08 9:45:00"/>
    <x v="5"/>
    <n v="799"/>
    <s v="UPI"/>
    <x v="0"/>
    <n v="9"/>
    <x v="24"/>
    <s v="travel"/>
    <s v="West"/>
    <n v="0"/>
  </r>
  <r>
    <s v="TXN100098"/>
    <n v="136"/>
    <x v="35"/>
    <s v="2026-01-22 7:59:00"/>
    <x v="13"/>
    <n v="299"/>
    <s v="Card"/>
    <x v="0"/>
    <n v="84"/>
    <x v="35"/>
    <s v="grocery"/>
    <s v="East"/>
    <n v="5.98"/>
  </r>
  <r>
    <s v="TXN100099"/>
    <n v="59"/>
    <x v="8"/>
    <s v="2026-01-26 6:27:00"/>
    <x v="16"/>
    <n v="499"/>
    <s v="UPI"/>
    <x v="0"/>
    <n v="28"/>
    <x v="8"/>
    <s v="recharge"/>
    <s v="East"/>
    <n v="0"/>
  </r>
  <r>
    <s v="TXN100100"/>
    <n v="137"/>
    <x v="34"/>
    <s v="2026-01-21 4:58:00"/>
    <x v="8"/>
    <n v="299"/>
    <s v="UPI"/>
    <x v="0"/>
    <n v="9"/>
    <x v="34"/>
    <s v="grocery"/>
    <s v="West"/>
    <n v="0"/>
  </r>
  <r>
    <s v="TXN100101"/>
    <n v="158"/>
    <x v="38"/>
    <s v="2026-01-02 5:50:00"/>
    <x v="22"/>
    <n v="499"/>
    <s v="Netbanking"/>
    <x v="0"/>
    <n v="95"/>
    <x v="38"/>
    <s v="entertainment"/>
    <s v="North"/>
    <n v="4.99"/>
  </r>
  <r>
    <s v="TXN100102"/>
    <n v="148"/>
    <x v="26"/>
    <s v="2026-01-27 18:58:00"/>
    <x v="6"/>
    <n v="99"/>
    <s v="Card"/>
    <x v="0"/>
    <n v="15"/>
    <x v="26"/>
    <s v="ecommerce"/>
    <s v="North"/>
    <n v="1.98"/>
  </r>
  <r>
    <s v="TXN100103"/>
    <n v="207"/>
    <x v="7"/>
    <s v="2026-01-15 22:19:00"/>
    <x v="17"/>
    <n v="149"/>
    <s v="UPI"/>
    <x v="0"/>
    <n v="64"/>
    <x v="7"/>
    <s v="grocery"/>
    <s v="West"/>
    <n v="0"/>
  </r>
  <r>
    <s v="TXN100104"/>
    <n v="42"/>
    <x v="38"/>
    <s v="2026-01-18 15:28:00"/>
    <x v="15"/>
    <n v="2999"/>
    <s v="Card"/>
    <x v="0"/>
    <n v="5"/>
    <x v="38"/>
    <s v="entertainment"/>
    <s v="North"/>
    <n v="59.980000000000004"/>
  </r>
  <r>
    <s v="TXN100105"/>
    <n v="166"/>
    <x v="38"/>
    <s v="2026-01-29 13:47:00"/>
    <x v="0"/>
    <n v="149"/>
    <s v="UPI"/>
    <x v="0"/>
    <n v="32"/>
    <x v="38"/>
    <s v="entertainment"/>
    <s v="North"/>
    <n v="0"/>
  </r>
  <r>
    <s v="TXN100106"/>
    <n v="346"/>
    <x v="21"/>
    <s v="2026-01-01 2:14:00"/>
    <x v="9"/>
    <n v="99"/>
    <s v="UPI"/>
    <x v="0"/>
    <n v="75"/>
    <x v="21"/>
    <s v="entertainment"/>
    <s v="South"/>
    <n v="0"/>
  </r>
  <r>
    <s v="TXN100107"/>
    <n v="138"/>
    <x v="21"/>
    <s v="2026-01-01 21:52:00"/>
    <x v="9"/>
    <n v="499"/>
    <s v="UPI"/>
    <x v="0"/>
    <n v="5"/>
    <x v="21"/>
    <s v="entertainment"/>
    <s v="South"/>
    <n v="0"/>
  </r>
  <r>
    <s v="TXN100108"/>
    <n v="266"/>
    <x v="26"/>
    <s v="2026-01-25 5:30:00"/>
    <x v="21"/>
    <n v="499"/>
    <s v="Wallet"/>
    <x v="1"/>
    <n v="35"/>
    <x v="26"/>
    <s v="ecommerce"/>
    <s v="North"/>
    <n v="7.484999999999999"/>
  </r>
  <r>
    <s v="TXN100109"/>
    <n v="326"/>
    <x v="33"/>
    <s v="2026-01-06 18:27:00"/>
    <x v="4"/>
    <n v="149"/>
    <s v="UPI"/>
    <x v="0"/>
    <n v="11"/>
    <x v="33"/>
    <s v="food_delivery"/>
    <s v="West"/>
    <n v="0"/>
  </r>
  <r>
    <s v="TXN100110"/>
    <n v="171"/>
    <x v="17"/>
    <s v="2026-01-16 11:26:00"/>
    <x v="24"/>
    <n v="799"/>
    <s v="UPI"/>
    <x v="0"/>
    <n v="85"/>
    <x v="17"/>
    <s v="food_delivery"/>
    <s v="East"/>
    <n v="0"/>
  </r>
  <r>
    <s v="TXN100111"/>
    <n v="211"/>
    <x v="33"/>
    <s v="2026-01-04 5:21:00"/>
    <x v="1"/>
    <n v="49"/>
    <s v="UPI"/>
    <x v="0"/>
    <n v="36"/>
    <x v="33"/>
    <s v="food_delivery"/>
    <s v="West"/>
    <n v="0"/>
  </r>
  <r>
    <s v="TXN100112"/>
    <n v="282"/>
    <x v="4"/>
    <s v="2026-01-22 12:52:00"/>
    <x v="13"/>
    <n v="499"/>
    <s v="UPI"/>
    <x v="0"/>
    <n v="58"/>
    <x v="4"/>
    <s v="grocery"/>
    <s v="East"/>
    <n v="0"/>
  </r>
  <r>
    <s v="TXN100113"/>
    <n v="166"/>
    <x v="30"/>
    <s v="2026-01-03 10:16:00"/>
    <x v="29"/>
    <n v="299"/>
    <s v="UPI"/>
    <x v="0"/>
    <n v="98"/>
    <x v="30"/>
    <s v="food_delivery"/>
    <s v="North"/>
    <n v="0"/>
  </r>
  <r>
    <s v="TXN100114"/>
    <n v="1"/>
    <x v="8"/>
    <s v="2026-01-13 16:52:00"/>
    <x v="11"/>
    <n v="149"/>
    <s v="UPI"/>
    <x v="0"/>
    <n v="59"/>
    <x v="8"/>
    <s v="recharge"/>
    <s v="East"/>
    <n v="0"/>
  </r>
  <r>
    <s v="TXN100115"/>
    <n v="266"/>
    <x v="31"/>
    <s v="2026-01-14 1:12:00"/>
    <x v="12"/>
    <n v="499"/>
    <s v="UPI"/>
    <x v="0"/>
    <n v="79"/>
    <x v="31"/>
    <s v="grocery"/>
    <s v="North"/>
    <n v="0"/>
  </r>
  <r>
    <s v="TXN100116"/>
    <n v="227"/>
    <x v="29"/>
    <s v="2026-01-25 15:40:00"/>
    <x v="21"/>
    <n v="499"/>
    <s v="UPI"/>
    <x v="0"/>
    <n v="26"/>
    <x v="29"/>
    <s v="ecommerce"/>
    <s v="East"/>
    <n v="0"/>
  </r>
  <r>
    <s v="TXN100117"/>
    <n v="148"/>
    <x v="26"/>
    <s v="2026-01-09 17:08:00"/>
    <x v="10"/>
    <n v="499"/>
    <s v="UPI"/>
    <x v="0"/>
    <n v="89"/>
    <x v="26"/>
    <s v="ecommerce"/>
    <s v="North"/>
    <n v="0"/>
  </r>
  <r>
    <s v="TXN100118"/>
    <n v="323"/>
    <x v="38"/>
    <s v="2026-01-16 3:01:00"/>
    <x v="24"/>
    <n v="499"/>
    <s v="UPI"/>
    <x v="0"/>
    <n v="30"/>
    <x v="38"/>
    <s v="entertainment"/>
    <s v="North"/>
    <n v="0"/>
  </r>
  <r>
    <s v="TXN100119"/>
    <n v="283"/>
    <x v="37"/>
    <s v="2026-01-23 5:19:00"/>
    <x v="20"/>
    <n v="2999"/>
    <s v="Wallet"/>
    <x v="0"/>
    <n v="70"/>
    <x v="37"/>
    <s v="ecommerce"/>
    <s v="South"/>
    <n v="44.985"/>
  </r>
  <r>
    <s v="TXN100120"/>
    <n v="59"/>
    <x v="24"/>
    <s v="2026-01-14 2:14:00"/>
    <x v="12"/>
    <n v="499"/>
    <s v="UPI"/>
    <x v="0"/>
    <n v="15"/>
    <x v="24"/>
    <s v="travel"/>
    <s v="West"/>
    <n v="0"/>
  </r>
  <r>
    <s v="TXN100121"/>
    <n v="150"/>
    <x v="11"/>
    <s v="2026-01-21 4:31:00"/>
    <x v="8"/>
    <n v="2999"/>
    <s v="UPI"/>
    <x v="0"/>
    <n v="90"/>
    <x v="11"/>
    <s v="bill_payment"/>
    <s v="East"/>
    <n v="0"/>
  </r>
  <r>
    <s v="TXN100122"/>
    <n v="248"/>
    <x v="20"/>
    <s v="2026-01-09 13:53:00"/>
    <x v="10"/>
    <n v="1499"/>
    <s v="UPI"/>
    <x v="1"/>
    <n v="31"/>
    <x v="20"/>
    <s v="bill_payment"/>
    <s v="East"/>
    <n v="0"/>
  </r>
  <r>
    <s v="TXN100123"/>
    <n v="197"/>
    <x v="6"/>
    <s v="2026-01-15 17:09:00"/>
    <x v="17"/>
    <n v="49"/>
    <s v="UPI"/>
    <x v="0"/>
    <n v="76"/>
    <x v="6"/>
    <s v="travel"/>
    <s v="East"/>
    <n v="0"/>
  </r>
  <r>
    <s v="TXN100124"/>
    <n v="70"/>
    <x v="32"/>
    <s v="2026-01-17 23:56:00"/>
    <x v="18"/>
    <n v="499"/>
    <s v="UPI"/>
    <x v="0"/>
    <n v="35"/>
    <x v="32"/>
    <s v="recharge"/>
    <s v="South"/>
    <n v="0"/>
  </r>
  <r>
    <s v="TXN100125"/>
    <n v="260"/>
    <x v="7"/>
    <s v="2026-01-25 13:21:00"/>
    <x v="21"/>
    <n v="1499"/>
    <s v="UPI"/>
    <x v="0"/>
    <n v="0"/>
    <x v="7"/>
    <s v="grocery"/>
    <s v="West"/>
    <n v="0"/>
  </r>
  <r>
    <s v="TXN100126"/>
    <n v="301"/>
    <x v="35"/>
    <s v="2026-01-10 23:19:00"/>
    <x v="27"/>
    <n v="99"/>
    <s v="UPI"/>
    <x v="0"/>
    <n v="84"/>
    <x v="35"/>
    <s v="grocery"/>
    <s v="East"/>
    <n v="0"/>
  </r>
  <r>
    <s v="TXN100127"/>
    <n v="276"/>
    <x v="20"/>
    <s v="2026-01-16 4:28:00"/>
    <x v="24"/>
    <n v="499"/>
    <s v="Card"/>
    <x v="0"/>
    <n v="44"/>
    <x v="20"/>
    <s v="bill_payment"/>
    <s v="East"/>
    <n v="9.98"/>
  </r>
  <r>
    <s v="TXN100128"/>
    <n v="279"/>
    <x v="14"/>
    <s v="2026-01-11 17:48:00"/>
    <x v="7"/>
    <n v="799"/>
    <s v="UPI"/>
    <x v="0"/>
    <n v="58"/>
    <x v="14"/>
    <s v="travel"/>
    <s v="South"/>
    <n v="0"/>
  </r>
  <r>
    <s v="TXN100129"/>
    <n v="97"/>
    <x v="0"/>
    <s v="2026-01-30 10:55:00"/>
    <x v="3"/>
    <n v="799"/>
    <s v="Card"/>
    <x v="0"/>
    <n v="73"/>
    <x v="0"/>
    <s v="bill_payment"/>
    <s v="West"/>
    <n v="15.98"/>
  </r>
  <r>
    <s v="TXN100130"/>
    <n v="211"/>
    <x v="4"/>
    <s v="2026-01-13 7:54:00"/>
    <x v="11"/>
    <n v="149"/>
    <s v="UPI"/>
    <x v="2"/>
    <n v="40"/>
    <x v="4"/>
    <s v="grocery"/>
    <s v="East"/>
    <n v="0"/>
  </r>
  <r>
    <s v="TXN100131"/>
    <n v="196"/>
    <x v="14"/>
    <s v="2026-01-24 15:45:00"/>
    <x v="2"/>
    <n v="149"/>
    <s v="Netbanking"/>
    <x v="0"/>
    <n v="84"/>
    <x v="14"/>
    <s v="travel"/>
    <s v="South"/>
    <n v="1.49"/>
  </r>
  <r>
    <s v="TXN100132"/>
    <n v="254"/>
    <x v="4"/>
    <s v="2026-01-26 20:09:00"/>
    <x v="16"/>
    <n v="149"/>
    <s v="Card"/>
    <x v="0"/>
    <n v="16"/>
    <x v="4"/>
    <s v="grocery"/>
    <s v="East"/>
    <n v="2.98"/>
  </r>
  <r>
    <s v="TXN100133"/>
    <n v="52"/>
    <x v="26"/>
    <s v="2026-01-17 18:21:00"/>
    <x v="18"/>
    <n v="49"/>
    <s v="Netbanking"/>
    <x v="0"/>
    <n v="12"/>
    <x v="26"/>
    <s v="ecommerce"/>
    <s v="North"/>
    <n v="0.49"/>
  </r>
  <r>
    <s v="TXN100134"/>
    <n v="74"/>
    <x v="1"/>
    <s v="2026-01-17 14:00:00"/>
    <x v="18"/>
    <n v="799"/>
    <s v="UPI"/>
    <x v="0"/>
    <n v="83"/>
    <x v="1"/>
    <s v="ecommerce"/>
    <s v="North"/>
    <n v="0"/>
  </r>
  <r>
    <s v="TXN100135"/>
    <n v="136"/>
    <x v="3"/>
    <s v="2026-01-05 2:30:00"/>
    <x v="14"/>
    <n v="149"/>
    <s v="UPI"/>
    <x v="0"/>
    <n v="79"/>
    <x v="3"/>
    <s v="travel"/>
    <s v="South"/>
    <n v="0"/>
  </r>
  <r>
    <s v="TXN100136"/>
    <n v="42"/>
    <x v="3"/>
    <s v="2026-01-23 12:41:00"/>
    <x v="20"/>
    <n v="49"/>
    <s v="UPI"/>
    <x v="0"/>
    <n v="86"/>
    <x v="3"/>
    <s v="travel"/>
    <s v="South"/>
    <n v="0"/>
  </r>
  <r>
    <s v="TXN100137"/>
    <n v="163"/>
    <x v="33"/>
    <s v="2026-01-28 17:24:00"/>
    <x v="19"/>
    <n v="2999"/>
    <s v="Wallet"/>
    <x v="1"/>
    <n v="69"/>
    <x v="33"/>
    <s v="food_delivery"/>
    <s v="West"/>
    <n v="44.985"/>
  </r>
  <r>
    <s v="TXN100138"/>
    <n v="121"/>
    <x v="13"/>
    <s v="2026-01-02 19:04:00"/>
    <x v="22"/>
    <n v="149"/>
    <s v="UPI"/>
    <x v="0"/>
    <n v="29"/>
    <x v="13"/>
    <s v="grocery"/>
    <s v="North"/>
    <n v="0"/>
  </r>
  <r>
    <s v="TXN100139"/>
    <n v="51"/>
    <x v="23"/>
    <s v="2026-01-24 2:27:00"/>
    <x v="2"/>
    <n v="499"/>
    <s v="Card"/>
    <x v="0"/>
    <n v="56"/>
    <x v="23"/>
    <s v="food_delivery"/>
    <s v="East"/>
    <n v="9.98"/>
  </r>
  <r>
    <s v="TXN100140"/>
    <n v="15"/>
    <x v="4"/>
    <s v="2026-01-06 22:19:00"/>
    <x v="4"/>
    <n v="799"/>
    <s v="UPI"/>
    <x v="0"/>
    <n v="41"/>
    <x v="4"/>
    <s v="grocery"/>
    <s v="East"/>
    <n v="0"/>
  </r>
  <r>
    <s v="TXN100141"/>
    <n v="184"/>
    <x v="31"/>
    <s v="2026-01-26 1:18:00"/>
    <x v="16"/>
    <n v="49"/>
    <s v="UPI"/>
    <x v="0"/>
    <n v="55"/>
    <x v="31"/>
    <s v="grocery"/>
    <s v="North"/>
    <n v="0"/>
  </r>
  <r>
    <s v="TXN100142"/>
    <n v="211"/>
    <x v="21"/>
    <s v="2026-01-05 7:33:00"/>
    <x v="14"/>
    <n v="1499"/>
    <s v="UPI"/>
    <x v="0"/>
    <n v="87"/>
    <x v="21"/>
    <s v="entertainment"/>
    <s v="South"/>
    <n v="0"/>
  </r>
  <r>
    <s v="TXN100143"/>
    <n v="90"/>
    <x v="18"/>
    <s v="2026-01-26 5:10:00"/>
    <x v="16"/>
    <n v="49"/>
    <s v="Card"/>
    <x v="0"/>
    <n v="78"/>
    <x v="18"/>
    <s v="food_delivery"/>
    <s v="South"/>
    <n v="0.98"/>
  </r>
  <r>
    <s v="TXN100144"/>
    <n v="350"/>
    <x v="0"/>
    <s v="2026-01-28 12:39:00"/>
    <x v="19"/>
    <n v="49"/>
    <s v="UPI"/>
    <x v="0"/>
    <n v="63"/>
    <x v="0"/>
    <s v="bill_payment"/>
    <s v="West"/>
    <n v="0"/>
  </r>
  <r>
    <s v="TXN100145"/>
    <n v="119"/>
    <x v="24"/>
    <s v="2026-01-30 18:09:00"/>
    <x v="3"/>
    <n v="49"/>
    <s v="Card"/>
    <x v="0"/>
    <n v="81"/>
    <x v="24"/>
    <s v="travel"/>
    <s v="West"/>
    <n v="0.98"/>
  </r>
  <r>
    <s v="TXN100146"/>
    <n v="342"/>
    <x v="37"/>
    <s v="2026-01-09 14:16:00"/>
    <x v="10"/>
    <n v="49"/>
    <s v="UPI"/>
    <x v="0"/>
    <n v="59"/>
    <x v="37"/>
    <s v="ecommerce"/>
    <s v="South"/>
    <n v="0"/>
  </r>
  <r>
    <s v="TXN100147"/>
    <n v="280"/>
    <x v="2"/>
    <s v="2026-01-29 9:43:00"/>
    <x v="0"/>
    <n v="149"/>
    <s v="UPI"/>
    <x v="2"/>
    <n v="9"/>
    <x v="2"/>
    <s v="ecommerce"/>
    <s v="North"/>
    <n v="0"/>
  </r>
  <r>
    <s v="TXN100148"/>
    <n v="154"/>
    <x v="10"/>
    <s v="2026-01-15 11:37:00"/>
    <x v="17"/>
    <n v="2999"/>
    <s v="Netbanking"/>
    <x v="0"/>
    <n v="88"/>
    <x v="10"/>
    <s v="ecommerce"/>
    <s v="South"/>
    <n v="29.990000000000002"/>
  </r>
  <r>
    <s v="TXN100149"/>
    <n v="155"/>
    <x v="6"/>
    <s v="2026-01-09 14:54:00"/>
    <x v="10"/>
    <n v="149"/>
    <s v="UPI"/>
    <x v="0"/>
    <n v="49"/>
    <x v="6"/>
    <s v="travel"/>
    <s v="East"/>
    <n v="0"/>
  </r>
  <r>
    <s v="TXN100150"/>
    <n v="122"/>
    <x v="14"/>
    <s v="2026-01-28 15:06:00"/>
    <x v="19"/>
    <n v="299"/>
    <s v="UPI"/>
    <x v="0"/>
    <n v="73"/>
    <x v="14"/>
    <s v="travel"/>
    <s v="South"/>
    <n v="0"/>
  </r>
  <r>
    <s v="TXN100151"/>
    <n v="152"/>
    <x v="27"/>
    <s v="2026-01-12 18:18:00"/>
    <x v="28"/>
    <n v="49"/>
    <s v="UPI"/>
    <x v="0"/>
    <n v="84"/>
    <x v="27"/>
    <s v="grocery"/>
    <s v="West"/>
    <n v="0"/>
  </r>
  <r>
    <s v="TXN100152"/>
    <n v="290"/>
    <x v="29"/>
    <s v="2026-01-13 8:00:00"/>
    <x v="11"/>
    <n v="149"/>
    <s v="UPI"/>
    <x v="0"/>
    <n v="77"/>
    <x v="29"/>
    <s v="ecommerce"/>
    <s v="East"/>
    <n v="0"/>
  </r>
  <r>
    <s v="TXN100153"/>
    <n v="147"/>
    <x v="19"/>
    <s v="2026-01-24 15:53:00"/>
    <x v="2"/>
    <n v="49"/>
    <s v="Wallet"/>
    <x v="0"/>
    <n v="77"/>
    <x v="19"/>
    <s v="travel"/>
    <s v="North"/>
    <n v="0.735"/>
  </r>
  <r>
    <s v="TXN100154"/>
    <n v="326"/>
    <x v="6"/>
    <s v="2026-01-26 11:14:00"/>
    <x v="16"/>
    <n v="299"/>
    <s v="Netbanking"/>
    <x v="0"/>
    <n v="79"/>
    <x v="6"/>
    <s v="travel"/>
    <s v="East"/>
    <n v="2.99"/>
  </r>
  <r>
    <s v="TXN100155"/>
    <n v="338"/>
    <x v="39"/>
    <s v="2026-01-09 21:48:00"/>
    <x v="10"/>
    <n v="99"/>
    <s v="Card"/>
    <x v="0"/>
    <n v="80"/>
    <x v="39"/>
    <s v="ecommerce"/>
    <s v="North"/>
    <n v="1.98"/>
  </r>
  <r>
    <s v="TXN100156"/>
    <n v="21"/>
    <x v="15"/>
    <s v="2026-01-04 20:41:00"/>
    <x v="1"/>
    <n v="2999"/>
    <s v="UPI"/>
    <x v="0"/>
    <n v="100"/>
    <x v="15"/>
    <s v="food_delivery"/>
    <s v="East"/>
    <n v="0"/>
  </r>
  <r>
    <s v="TXN100157"/>
    <n v="187"/>
    <x v="39"/>
    <s v="2026-01-15 1:37:00"/>
    <x v="17"/>
    <n v="49"/>
    <s v="Card"/>
    <x v="1"/>
    <n v="11"/>
    <x v="39"/>
    <s v="ecommerce"/>
    <s v="North"/>
    <n v="0.98"/>
  </r>
  <r>
    <s v="TXN100158"/>
    <n v="213"/>
    <x v="9"/>
    <s v="2026-01-30 9:20:00"/>
    <x v="3"/>
    <n v="4999"/>
    <s v="UPI"/>
    <x v="0"/>
    <n v="25"/>
    <x v="9"/>
    <s v="ecommerce"/>
    <s v="East"/>
    <n v="0"/>
  </r>
  <r>
    <s v="TXN100159"/>
    <n v="188"/>
    <x v="36"/>
    <s v="2026-01-05 17:56:00"/>
    <x v="14"/>
    <n v="2999"/>
    <s v="UPI"/>
    <x v="0"/>
    <n v="64"/>
    <x v="36"/>
    <s v="travel"/>
    <s v="South"/>
    <n v="0"/>
  </r>
  <r>
    <s v="TXN100160"/>
    <n v="85"/>
    <x v="28"/>
    <s v="2026-01-30 8:53:00"/>
    <x v="3"/>
    <n v="499"/>
    <s v="UPI"/>
    <x v="0"/>
    <n v="61"/>
    <x v="28"/>
    <s v="grocery"/>
    <s v="North"/>
    <n v="0"/>
  </r>
  <r>
    <s v="TXN100161"/>
    <n v="174"/>
    <x v="30"/>
    <s v="2026-01-26 9:47:00"/>
    <x v="16"/>
    <n v="299"/>
    <s v="Netbanking"/>
    <x v="0"/>
    <n v="59"/>
    <x v="30"/>
    <s v="food_delivery"/>
    <s v="North"/>
    <n v="2.99"/>
  </r>
  <r>
    <s v="TXN100162"/>
    <n v="116"/>
    <x v="22"/>
    <s v="2026-01-03 4:48:00"/>
    <x v="29"/>
    <n v="99"/>
    <s v="Netbanking"/>
    <x v="0"/>
    <n v="71"/>
    <x v="22"/>
    <s v="food_delivery"/>
    <s v="East"/>
    <n v="0.99"/>
  </r>
  <r>
    <s v="TXN100163"/>
    <n v="203"/>
    <x v="37"/>
    <s v="2026-01-12 2:50:00"/>
    <x v="28"/>
    <n v="149"/>
    <s v="Wallet"/>
    <x v="0"/>
    <n v="33"/>
    <x v="37"/>
    <s v="ecommerce"/>
    <s v="South"/>
    <n v="2.235"/>
  </r>
  <r>
    <s v="TXN100164"/>
    <n v="189"/>
    <x v="28"/>
    <s v="2026-01-18 3:29:00"/>
    <x v="15"/>
    <n v="99"/>
    <s v="UPI"/>
    <x v="0"/>
    <n v="74"/>
    <x v="28"/>
    <s v="grocery"/>
    <s v="North"/>
    <n v="0"/>
  </r>
  <r>
    <s v="TXN100165"/>
    <n v="56"/>
    <x v="19"/>
    <s v="2026-01-13 20:23:00"/>
    <x v="11"/>
    <n v="299"/>
    <s v="UPI"/>
    <x v="0"/>
    <n v="60"/>
    <x v="19"/>
    <s v="travel"/>
    <s v="North"/>
    <n v="0"/>
  </r>
  <r>
    <s v="TXN100166"/>
    <n v="288"/>
    <x v="17"/>
    <s v="2026-01-01 19:56:00"/>
    <x v="9"/>
    <n v="4999"/>
    <s v="Wallet"/>
    <x v="1"/>
    <n v="78"/>
    <x v="17"/>
    <s v="food_delivery"/>
    <s v="East"/>
    <n v="74.985"/>
  </r>
  <r>
    <s v="TXN100167"/>
    <n v="326"/>
    <x v="24"/>
    <s v="2026-01-08 20:04:00"/>
    <x v="5"/>
    <n v="99"/>
    <s v="Card"/>
    <x v="0"/>
    <n v="89"/>
    <x v="24"/>
    <s v="travel"/>
    <s v="West"/>
    <n v="1.98"/>
  </r>
  <r>
    <s v="TXN100168"/>
    <n v="60"/>
    <x v="39"/>
    <s v="2026-01-10 20:26:00"/>
    <x v="27"/>
    <n v="49"/>
    <s v="Netbanking"/>
    <x v="0"/>
    <n v="5"/>
    <x v="39"/>
    <s v="ecommerce"/>
    <s v="North"/>
    <n v="0.49"/>
  </r>
  <r>
    <s v="TXN100169"/>
    <n v="60"/>
    <x v="23"/>
    <s v="2026-01-02 9:31:00"/>
    <x v="22"/>
    <n v="2999"/>
    <s v="Wallet"/>
    <x v="0"/>
    <n v="30"/>
    <x v="23"/>
    <s v="food_delivery"/>
    <s v="East"/>
    <n v="44.985"/>
  </r>
  <r>
    <s v="TXN100170"/>
    <n v="199"/>
    <x v="24"/>
    <s v="2026-01-29 17:08:00"/>
    <x v="0"/>
    <n v="149"/>
    <s v="Netbanking"/>
    <x v="0"/>
    <n v="47"/>
    <x v="24"/>
    <s v="travel"/>
    <s v="West"/>
    <n v="1.49"/>
  </r>
  <r>
    <s v="TXN100171"/>
    <n v="277"/>
    <x v="1"/>
    <s v="2026-01-22 23:44:00"/>
    <x v="13"/>
    <n v="49"/>
    <s v="UPI"/>
    <x v="0"/>
    <n v="75"/>
    <x v="1"/>
    <s v="ecommerce"/>
    <s v="North"/>
    <n v="0"/>
  </r>
  <r>
    <s v="TXN100172"/>
    <n v="213"/>
    <x v="23"/>
    <s v="2026-01-24 23:09:00"/>
    <x v="2"/>
    <n v="799"/>
    <s v="Netbanking"/>
    <x v="0"/>
    <n v="62"/>
    <x v="23"/>
    <s v="food_delivery"/>
    <s v="East"/>
    <n v="7.99"/>
  </r>
  <r>
    <s v="TXN100173"/>
    <n v="17"/>
    <x v="31"/>
    <s v="2026-01-20 13:17:00"/>
    <x v="26"/>
    <n v="299"/>
    <s v="UPI"/>
    <x v="0"/>
    <n v="27"/>
    <x v="31"/>
    <s v="grocery"/>
    <s v="North"/>
    <n v="0"/>
  </r>
  <r>
    <s v="TXN100174"/>
    <n v="186"/>
    <x v="23"/>
    <s v="2026-01-15 14:15:00"/>
    <x v="17"/>
    <n v="1499"/>
    <s v="Card"/>
    <x v="1"/>
    <n v="87"/>
    <x v="23"/>
    <s v="food_delivery"/>
    <s v="East"/>
    <n v="29.98"/>
  </r>
  <r>
    <s v="TXN100175"/>
    <n v="331"/>
    <x v="5"/>
    <s v="2026-01-12 17:57:00"/>
    <x v="28"/>
    <n v="149"/>
    <s v="UPI"/>
    <x v="0"/>
    <n v="7"/>
    <x v="5"/>
    <s v="travel"/>
    <s v="North"/>
    <n v="0"/>
  </r>
  <r>
    <s v="TXN100176"/>
    <n v="63"/>
    <x v="24"/>
    <s v="2026-01-13 8:12:00"/>
    <x v="11"/>
    <n v="1499"/>
    <s v="Card"/>
    <x v="0"/>
    <n v="11"/>
    <x v="24"/>
    <s v="travel"/>
    <s v="West"/>
    <n v="29.98"/>
  </r>
  <r>
    <s v="TXN100177"/>
    <n v="328"/>
    <x v="38"/>
    <s v="2026-01-22 6:41:00"/>
    <x v="13"/>
    <n v="4999"/>
    <s v="Wallet"/>
    <x v="2"/>
    <n v="2"/>
    <x v="38"/>
    <s v="entertainment"/>
    <s v="North"/>
    <n v="74.985"/>
  </r>
  <r>
    <s v="TXN100178"/>
    <n v="65"/>
    <x v="21"/>
    <s v="2026-01-02 10:15:00"/>
    <x v="22"/>
    <n v="2999"/>
    <s v="Card"/>
    <x v="0"/>
    <n v="26"/>
    <x v="21"/>
    <s v="entertainment"/>
    <s v="South"/>
    <n v="59.980000000000004"/>
  </r>
  <r>
    <s v="TXN100179"/>
    <n v="301"/>
    <x v="16"/>
    <s v="2026-01-03 17:13:00"/>
    <x v="29"/>
    <n v="149"/>
    <s v="UPI"/>
    <x v="0"/>
    <n v="29"/>
    <x v="16"/>
    <s v="grocery"/>
    <s v="East"/>
    <n v="0"/>
  </r>
  <r>
    <s v="TXN100180"/>
    <n v="306"/>
    <x v="37"/>
    <s v="2026-01-11 4:50:00"/>
    <x v="7"/>
    <n v="299"/>
    <s v="UPI"/>
    <x v="1"/>
    <n v="35"/>
    <x v="37"/>
    <s v="ecommerce"/>
    <s v="South"/>
    <n v="0"/>
  </r>
  <r>
    <s v="TXN100181"/>
    <n v="277"/>
    <x v="28"/>
    <s v="2026-01-28 4:08:00"/>
    <x v="19"/>
    <n v="299"/>
    <s v="UPI"/>
    <x v="0"/>
    <n v="22"/>
    <x v="28"/>
    <s v="grocery"/>
    <s v="North"/>
    <n v="0"/>
  </r>
  <r>
    <s v="TXN100182"/>
    <n v="14"/>
    <x v="39"/>
    <s v="2026-01-04 21:55:00"/>
    <x v="1"/>
    <n v="499"/>
    <s v="UPI"/>
    <x v="0"/>
    <n v="1"/>
    <x v="39"/>
    <s v="ecommerce"/>
    <s v="North"/>
    <n v="0"/>
  </r>
  <r>
    <s v="TXN100183"/>
    <n v="166"/>
    <x v="27"/>
    <s v="2026-01-12 7:37:00"/>
    <x v="28"/>
    <n v="299"/>
    <s v="Card"/>
    <x v="0"/>
    <n v="22"/>
    <x v="27"/>
    <s v="grocery"/>
    <s v="West"/>
    <n v="5.98"/>
  </r>
  <r>
    <s v="TXN100184"/>
    <n v="216"/>
    <x v="36"/>
    <s v="2026-01-09 1:08:00"/>
    <x v="10"/>
    <n v="299"/>
    <s v="Card"/>
    <x v="0"/>
    <n v="14"/>
    <x v="36"/>
    <s v="travel"/>
    <s v="South"/>
    <n v="5.98"/>
  </r>
  <r>
    <s v="TXN100185"/>
    <n v="230"/>
    <x v="31"/>
    <s v="2026-01-24 2:30:00"/>
    <x v="2"/>
    <n v="49"/>
    <s v="UPI"/>
    <x v="0"/>
    <n v="65"/>
    <x v="31"/>
    <s v="grocery"/>
    <s v="North"/>
    <n v="0"/>
  </r>
  <r>
    <s v="TXN100186"/>
    <n v="258"/>
    <x v="19"/>
    <s v="2026-01-19 3:28:00"/>
    <x v="23"/>
    <n v="499"/>
    <s v="Wallet"/>
    <x v="0"/>
    <n v="78"/>
    <x v="19"/>
    <s v="travel"/>
    <s v="North"/>
    <n v="7.484999999999999"/>
  </r>
  <r>
    <s v="TXN100187"/>
    <n v="338"/>
    <x v="36"/>
    <s v="2026-01-02 23:50:00"/>
    <x v="22"/>
    <n v="49"/>
    <s v="UPI"/>
    <x v="0"/>
    <n v="38"/>
    <x v="36"/>
    <s v="travel"/>
    <s v="South"/>
    <n v="0"/>
  </r>
  <r>
    <s v="TXN100188"/>
    <n v="32"/>
    <x v="20"/>
    <s v="2026-01-15 20:01:00"/>
    <x v="17"/>
    <n v="299"/>
    <s v="UPI"/>
    <x v="0"/>
    <n v="51"/>
    <x v="20"/>
    <s v="bill_payment"/>
    <s v="East"/>
    <n v="0"/>
  </r>
  <r>
    <s v="TXN100189"/>
    <n v="252"/>
    <x v="26"/>
    <s v="2026-01-14 21:06:00"/>
    <x v="12"/>
    <n v="1499"/>
    <s v="UPI"/>
    <x v="0"/>
    <n v="9"/>
    <x v="26"/>
    <s v="ecommerce"/>
    <s v="North"/>
    <n v="0"/>
  </r>
  <r>
    <s v="TXN100190"/>
    <n v="312"/>
    <x v="34"/>
    <s v="2026-01-29 2:20:00"/>
    <x v="0"/>
    <n v="799"/>
    <s v="UPI"/>
    <x v="0"/>
    <n v="8"/>
    <x v="34"/>
    <s v="grocery"/>
    <s v="West"/>
    <n v="0"/>
  </r>
  <r>
    <s v="TXN100191"/>
    <n v="325"/>
    <x v="35"/>
    <s v="2026-01-05 8:39:00"/>
    <x v="14"/>
    <n v="1499"/>
    <s v="Netbanking"/>
    <x v="0"/>
    <n v="70"/>
    <x v="35"/>
    <s v="grocery"/>
    <s v="East"/>
    <n v="14.99"/>
  </r>
  <r>
    <s v="TXN100192"/>
    <n v="306"/>
    <x v="36"/>
    <s v="2026-01-23 10:24:00"/>
    <x v="20"/>
    <n v="2999"/>
    <s v="UPI"/>
    <x v="0"/>
    <n v="37"/>
    <x v="36"/>
    <s v="travel"/>
    <s v="South"/>
    <n v="0"/>
  </r>
  <r>
    <s v="TXN100193"/>
    <n v="221"/>
    <x v="23"/>
    <s v="2026-01-15 16:38:00"/>
    <x v="17"/>
    <n v="149"/>
    <s v="Netbanking"/>
    <x v="0"/>
    <n v="89"/>
    <x v="23"/>
    <s v="food_delivery"/>
    <s v="East"/>
    <n v="1.49"/>
  </r>
  <r>
    <s v="TXN100194"/>
    <n v="283"/>
    <x v="16"/>
    <s v="2026-01-04 20:41:00"/>
    <x v="1"/>
    <n v="99"/>
    <s v="Wallet"/>
    <x v="0"/>
    <n v="55"/>
    <x v="16"/>
    <s v="grocery"/>
    <s v="East"/>
    <n v="1.4849999999999999"/>
  </r>
  <r>
    <s v="TXN100195"/>
    <n v="174"/>
    <x v="24"/>
    <s v="2026-01-15 7:26:00"/>
    <x v="17"/>
    <n v="49"/>
    <s v="UPI"/>
    <x v="0"/>
    <n v="51"/>
    <x v="24"/>
    <s v="travel"/>
    <s v="West"/>
    <n v="0"/>
  </r>
  <r>
    <s v="TXN100196"/>
    <n v="161"/>
    <x v="10"/>
    <s v="2026-01-14 23:06:00"/>
    <x v="12"/>
    <n v="49"/>
    <s v="UPI"/>
    <x v="0"/>
    <n v="40"/>
    <x v="10"/>
    <s v="ecommerce"/>
    <s v="South"/>
    <n v="0"/>
  </r>
  <r>
    <s v="TXN100197"/>
    <n v="79"/>
    <x v="20"/>
    <s v="2026-01-22 8:23:00"/>
    <x v="13"/>
    <n v="99"/>
    <s v="UPI"/>
    <x v="0"/>
    <n v="8"/>
    <x v="20"/>
    <s v="bill_payment"/>
    <s v="East"/>
    <n v="0"/>
  </r>
  <r>
    <s v="TXN100198"/>
    <n v="222"/>
    <x v="23"/>
    <s v="2026-01-03 2:05:00"/>
    <x v="29"/>
    <n v="149"/>
    <s v="Wallet"/>
    <x v="0"/>
    <n v="95"/>
    <x v="23"/>
    <s v="food_delivery"/>
    <s v="East"/>
    <n v="2.235"/>
  </r>
  <r>
    <s v="TXN100199"/>
    <n v="67"/>
    <x v="25"/>
    <s v="2026-01-24 11:51:00"/>
    <x v="2"/>
    <n v="99"/>
    <s v="UPI"/>
    <x v="0"/>
    <n v="7"/>
    <x v="25"/>
    <s v="entertainment"/>
    <s v="East"/>
    <n v="0"/>
  </r>
  <r>
    <s v="TXN100200"/>
    <n v="169"/>
    <x v="30"/>
    <s v="2026-01-19 17:35:00"/>
    <x v="23"/>
    <n v="99"/>
    <s v="UPI"/>
    <x v="0"/>
    <n v="52"/>
    <x v="30"/>
    <s v="food_delivery"/>
    <s v="North"/>
    <n v="0"/>
  </r>
  <r>
    <s v="TXN100201"/>
    <n v="217"/>
    <x v="29"/>
    <s v="2026-01-12 21:48:00"/>
    <x v="28"/>
    <n v="49"/>
    <s v="UPI"/>
    <x v="0"/>
    <n v="36"/>
    <x v="29"/>
    <s v="ecommerce"/>
    <s v="East"/>
    <n v="0"/>
  </r>
  <r>
    <s v="TXN100202"/>
    <n v="54"/>
    <x v="21"/>
    <s v="2026-01-20 9:22:00"/>
    <x v="26"/>
    <n v="149"/>
    <s v="UPI"/>
    <x v="0"/>
    <n v="64"/>
    <x v="21"/>
    <s v="entertainment"/>
    <s v="South"/>
    <n v="0"/>
  </r>
  <r>
    <s v="TXN100203"/>
    <n v="247"/>
    <x v="19"/>
    <s v="2026-01-07 4:42:00"/>
    <x v="25"/>
    <n v="49"/>
    <s v="Card"/>
    <x v="0"/>
    <n v="13"/>
    <x v="19"/>
    <s v="travel"/>
    <s v="North"/>
    <n v="0.98"/>
  </r>
  <r>
    <s v="TXN100204"/>
    <n v="59"/>
    <x v="7"/>
    <s v="2026-01-12 17:23:00"/>
    <x v="28"/>
    <n v="49"/>
    <s v="Card"/>
    <x v="0"/>
    <n v="73"/>
    <x v="7"/>
    <s v="grocery"/>
    <s v="West"/>
    <n v="0.98"/>
  </r>
  <r>
    <s v="TXN100205"/>
    <n v="288"/>
    <x v="12"/>
    <s v="2026-01-08 13:54:00"/>
    <x v="5"/>
    <n v="49"/>
    <s v="UPI"/>
    <x v="1"/>
    <n v="78"/>
    <x v="12"/>
    <s v="entertainment"/>
    <s v="South"/>
    <n v="0"/>
  </r>
  <r>
    <s v="TXN100206"/>
    <n v="14"/>
    <x v="38"/>
    <s v="2026-01-22 20:35:00"/>
    <x v="13"/>
    <n v="799"/>
    <s v="UPI"/>
    <x v="0"/>
    <n v="84"/>
    <x v="38"/>
    <s v="entertainment"/>
    <s v="North"/>
    <n v="0"/>
  </r>
  <r>
    <s v="TXN100207"/>
    <n v="15"/>
    <x v="9"/>
    <s v="2026-01-27 22:17:00"/>
    <x v="6"/>
    <n v="149"/>
    <s v="UPI"/>
    <x v="0"/>
    <n v="34"/>
    <x v="9"/>
    <s v="ecommerce"/>
    <s v="East"/>
    <n v="0"/>
  </r>
  <r>
    <s v="TXN100208"/>
    <n v="174"/>
    <x v="5"/>
    <s v="2026-01-23 9:58:00"/>
    <x v="20"/>
    <n v="149"/>
    <s v="UPI"/>
    <x v="0"/>
    <n v="0"/>
    <x v="5"/>
    <s v="travel"/>
    <s v="North"/>
    <n v="0"/>
  </r>
  <r>
    <s v="TXN100209"/>
    <n v="337"/>
    <x v="22"/>
    <s v="2026-01-06 4:36:00"/>
    <x v="4"/>
    <n v="49"/>
    <s v="UPI"/>
    <x v="0"/>
    <n v="8"/>
    <x v="22"/>
    <s v="food_delivery"/>
    <s v="East"/>
    <n v="0"/>
  </r>
  <r>
    <s v="TXN100210"/>
    <n v="16"/>
    <x v="18"/>
    <s v="2026-01-05 23:40:00"/>
    <x v="14"/>
    <n v="1499"/>
    <s v="UPI"/>
    <x v="0"/>
    <n v="95"/>
    <x v="18"/>
    <s v="food_delivery"/>
    <s v="South"/>
    <n v="0"/>
  </r>
  <r>
    <s v="TXN100211"/>
    <n v="215"/>
    <x v="24"/>
    <s v="2026-01-17 6:24:00"/>
    <x v="18"/>
    <n v="49"/>
    <s v="UPI"/>
    <x v="0"/>
    <n v="43"/>
    <x v="24"/>
    <s v="travel"/>
    <s v="West"/>
    <n v="0"/>
  </r>
  <r>
    <s v="TXN100212"/>
    <n v="167"/>
    <x v="21"/>
    <s v="2026-01-06 11:19:00"/>
    <x v="4"/>
    <n v="99"/>
    <s v="UPI"/>
    <x v="0"/>
    <n v="76"/>
    <x v="21"/>
    <s v="entertainment"/>
    <s v="South"/>
    <n v="0"/>
  </r>
  <r>
    <s v="TXN100213"/>
    <n v="81"/>
    <x v="12"/>
    <s v="2026-01-03 1:09:00"/>
    <x v="29"/>
    <n v="49"/>
    <s v="UPI"/>
    <x v="0"/>
    <n v="6"/>
    <x v="12"/>
    <s v="entertainment"/>
    <s v="South"/>
    <n v="0"/>
  </r>
  <r>
    <s v="TXN100214"/>
    <n v="227"/>
    <x v="10"/>
    <s v="2026-01-22 2:17:00"/>
    <x v="13"/>
    <n v="99"/>
    <s v="UPI"/>
    <x v="0"/>
    <n v="62"/>
    <x v="10"/>
    <s v="ecommerce"/>
    <s v="South"/>
    <n v="0"/>
  </r>
  <r>
    <s v="TXN100215"/>
    <n v="140"/>
    <x v="16"/>
    <s v="2026-01-20 14:26:00"/>
    <x v="26"/>
    <n v="299"/>
    <s v="Wallet"/>
    <x v="0"/>
    <n v="96"/>
    <x v="16"/>
    <s v="grocery"/>
    <s v="East"/>
    <n v="4.484999999999999"/>
  </r>
  <r>
    <s v="TXN100216"/>
    <n v="221"/>
    <x v="30"/>
    <s v="2026-01-17 3:22:00"/>
    <x v="18"/>
    <n v="299"/>
    <s v="UPI"/>
    <x v="0"/>
    <n v="36"/>
    <x v="30"/>
    <s v="food_delivery"/>
    <s v="North"/>
    <n v="0"/>
  </r>
  <r>
    <s v="TXN100217"/>
    <n v="250"/>
    <x v="36"/>
    <s v="2026-01-22 21:37:00"/>
    <x v="13"/>
    <n v="299"/>
    <s v="Wallet"/>
    <x v="0"/>
    <n v="85"/>
    <x v="36"/>
    <s v="travel"/>
    <s v="South"/>
    <n v="4.484999999999999"/>
  </r>
  <r>
    <s v="TXN100218"/>
    <n v="203"/>
    <x v="38"/>
    <s v="2026-01-10 1:14:00"/>
    <x v="27"/>
    <n v="49"/>
    <s v="UPI"/>
    <x v="0"/>
    <n v="7"/>
    <x v="38"/>
    <s v="entertainment"/>
    <s v="North"/>
    <n v="0"/>
  </r>
  <r>
    <s v="TXN100219"/>
    <n v="109"/>
    <x v="39"/>
    <s v="2026-01-01 6:19:00"/>
    <x v="9"/>
    <n v="499"/>
    <s v="Wallet"/>
    <x v="0"/>
    <n v="97"/>
    <x v="39"/>
    <s v="ecommerce"/>
    <s v="North"/>
    <n v="7.484999999999999"/>
  </r>
  <r>
    <s v="TXN100220"/>
    <n v="62"/>
    <x v="37"/>
    <s v="2026-01-09 9:20:00"/>
    <x v="10"/>
    <n v="4999"/>
    <s v="Wallet"/>
    <x v="0"/>
    <n v="63"/>
    <x v="37"/>
    <s v="ecommerce"/>
    <s v="South"/>
    <n v="74.985"/>
  </r>
  <r>
    <s v="TXN100221"/>
    <n v="67"/>
    <x v="14"/>
    <s v="2026-01-24 13:11:00"/>
    <x v="2"/>
    <n v="49"/>
    <s v="UPI"/>
    <x v="0"/>
    <n v="68"/>
    <x v="14"/>
    <s v="travel"/>
    <s v="South"/>
    <n v="0"/>
  </r>
  <r>
    <s v="TXN100222"/>
    <n v="287"/>
    <x v="5"/>
    <s v="2026-01-23 7:32:00"/>
    <x v="20"/>
    <n v="49"/>
    <s v="UPI"/>
    <x v="0"/>
    <n v="9"/>
    <x v="5"/>
    <s v="travel"/>
    <s v="North"/>
    <n v="0"/>
  </r>
  <r>
    <s v="TXN100223"/>
    <n v="224"/>
    <x v="27"/>
    <s v="2026-01-13 23:02:00"/>
    <x v="11"/>
    <n v="49"/>
    <s v="Card"/>
    <x v="0"/>
    <n v="58"/>
    <x v="27"/>
    <s v="grocery"/>
    <s v="West"/>
    <n v="0.98"/>
  </r>
  <r>
    <s v="TXN100224"/>
    <n v="161"/>
    <x v="21"/>
    <s v="2026-01-30 2:55:00"/>
    <x v="3"/>
    <n v="299"/>
    <s v="UPI"/>
    <x v="0"/>
    <n v="54"/>
    <x v="21"/>
    <s v="entertainment"/>
    <s v="South"/>
    <n v="0"/>
  </r>
  <r>
    <s v="TXN100225"/>
    <n v="328"/>
    <x v="1"/>
    <s v="2026-01-19 12:45:00"/>
    <x v="23"/>
    <n v="49"/>
    <s v="UPI"/>
    <x v="2"/>
    <n v="37"/>
    <x v="1"/>
    <s v="ecommerce"/>
    <s v="North"/>
    <n v="0"/>
  </r>
  <r>
    <s v="TXN100226"/>
    <n v="167"/>
    <x v="2"/>
    <s v="2026-01-04 12:01:00"/>
    <x v="1"/>
    <n v="1499"/>
    <s v="Card"/>
    <x v="1"/>
    <n v="79"/>
    <x v="2"/>
    <s v="ecommerce"/>
    <s v="North"/>
    <n v="29.98"/>
  </r>
  <r>
    <s v="TXN100227"/>
    <n v="186"/>
    <x v="18"/>
    <s v="2026-01-15 22:58:00"/>
    <x v="17"/>
    <n v="49"/>
    <s v="Wallet"/>
    <x v="0"/>
    <n v="55"/>
    <x v="18"/>
    <s v="food_delivery"/>
    <s v="South"/>
    <n v="0.735"/>
  </r>
  <r>
    <s v="TXN100228"/>
    <n v="224"/>
    <x v="35"/>
    <s v="2026-01-28 3:15:00"/>
    <x v="19"/>
    <n v="299"/>
    <s v="Wallet"/>
    <x v="1"/>
    <n v="51"/>
    <x v="35"/>
    <s v="grocery"/>
    <s v="East"/>
    <n v="4.484999999999999"/>
  </r>
  <r>
    <s v="TXN100229"/>
    <n v="159"/>
    <x v="3"/>
    <s v="2026-01-17 2:25:00"/>
    <x v="18"/>
    <n v="799"/>
    <s v="UPI"/>
    <x v="0"/>
    <n v="28"/>
    <x v="3"/>
    <s v="travel"/>
    <s v="South"/>
    <n v="0"/>
  </r>
  <r>
    <s v="TXN100230"/>
    <n v="262"/>
    <x v="30"/>
    <s v="2026-01-11 5:04:00"/>
    <x v="7"/>
    <n v="149"/>
    <s v="UPI"/>
    <x v="0"/>
    <n v="67"/>
    <x v="30"/>
    <s v="food_delivery"/>
    <s v="North"/>
    <n v="0"/>
  </r>
  <r>
    <s v="TXN100231"/>
    <n v="179"/>
    <x v="5"/>
    <s v="2026-01-17 6:57:00"/>
    <x v="18"/>
    <n v="49"/>
    <s v="Wallet"/>
    <x v="0"/>
    <n v="93"/>
    <x v="5"/>
    <s v="travel"/>
    <s v="North"/>
    <n v="0.735"/>
  </r>
  <r>
    <s v="TXN100232"/>
    <n v="76"/>
    <x v="0"/>
    <s v="2026-01-27 20:52:00"/>
    <x v="6"/>
    <n v="299"/>
    <s v="UPI"/>
    <x v="0"/>
    <n v="13"/>
    <x v="0"/>
    <s v="bill_payment"/>
    <s v="West"/>
    <n v="0"/>
  </r>
  <r>
    <s v="TXN100233"/>
    <n v="89"/>
    <x v="38"/>
    <s v="2026-01-05 8:12:00"/>
    <x v="14"/>
    <n v="299"/>
    <s v="UPI"/>
    <x v="0"/>
    <n v="19"/>
    <x v="38"/>
    <s v="entertainment"/>
    <s v="North"/>
    <n v="0"/>
  </r>
  <r>
    <s v="TXN100234"/>
    <n v="91"/>
    <x v="33"/>
    <s v="2026-01-25 20:04:00"/>
    <x v="21"/>
    <n v="49"/>
    <s v="UPI"/>
    <x v="0"/>
    <n v="59"/>
    <x v="33"/>
    <s v="food_delivery"/>
    <s v="West"/>
    <n v="0"/>
  </r>
  <r>
    <s v="TXN100235"/>
    <n v="297"/>
    <x v="26"/>
    <s v="2026-01-25 18:48:00"/>
    <x v="21"/>
    <n v="99"/>
    <s v="Card"/>
    <x v="2"/>
    <n v="87"/>
    <x v="26"/>
    <s v="ecommerce"/>
    <s v="North"/>
    <n v="1.98"/>
  </r>
  <r>
    <s v="TXN100236"/>
    <n v="326"/>
    <x v="12"/>
    <s v="2026-01-30 18:41:00"/>
    <x v="3"/>
    <n v="499"/>
    <s v="Card"/>
    <x v="0"/>
    <n v="41"/>
    <x v="12"/>
    <s v="entertainment"/>
    <s v="South"/>
    <n v="9.98"/>
  </r>
  <r>
    <s v="TXN100237"/>
    <n v="78"/>
    <x v="26"/>
    <s v="2026-01-28 20:20:00"/>
    <x v="19"/>
    <n v="149"/>
    <s v="UPI"/>
    <x v="0"/>
    <n v="8"/>
    <x v="26"/>
    <s v="ecommerce"/>
    <s v="North"/>
    <n v="0"/>
  </r>
  <r>
    <s v="TXN100238"/>
    <n v="156"/>
    <x v="7"/>
    <s v="2026-01-16 14:40:00"/>
    <x v="24"/>
    <n v="2999"/>
    <s v="Card"/>
    <x v="0"/>
    <n v="75"/>
    <x v="7"/>
    <s v="grocery"/>
    <s v="West"/>
    <n v="59.980000000000004"/>
  </r>
  <r>
    <s v="TXN100239"/>
    <n v="38"/>
    <x v="15"/>
    <s v="2026-01-02 11:32:00"/>
    <x v="22"/>
    <n v="49"/>
    <s v="Wallet"/>
    <x v="1"/>
    <n v="59"/>
    <x v="15"/>
    <s v="food_delivery"/>
    <s v="East"/>
    <n v="0.735"/>
  </r>
  <r>
    <s v="TXN100240"/>
    <n v="189"/>
    <x v="13"/>
    <s v="2026-01-15 1:03:00"/>
    <x v="17"/>
    <n v="99"/>
    <s v="UPI"/>
    <x v="1"/>
    <n v="9"/>
    <x v="13"/>
    <s v="grocery"/>
    <s v="North"/>
    <n v="0"/>
  </r>
  <r>
    <s v="TXN100241"/>
    <n v="305"/>
    <x v="11"/>
    <s v="2026-01-21 2:39:00"/>
    <x v="8"/>
    <n v="299"/>
    <s v="Card"/>
    <x v="0"/>
    <n v="49"/>
    <x v="11"/>
    <s v="bill_payment"/>
    <s v="East"/>
    <n v="5.98"/>
  </r>
  <r>
    <s v="TXN100242"/>
    <n v="22"/>
    <x v="26"/>
    <s v="2026-01-15 18:35:00"/>
    <x v="17"/>
    <n v="799"/>
    <s v="UPI"/>
    <x v="0"/>
    <n v="73"/>
    <x v="26"/>
    <s v="ecommerce"/>
    <s v="North"/>
    <n v="0"/>
  </r>
  <r>
    <s v="TXN100243"/>
    <n v="310"/>
    <x v="20"/>
    <s v="2026-01-21 6:20:00"/>
    <x v="8"/>
    <n v="49"/>
    <s v="Card"/>
    <x v="0"/>
    <n v="64"/>
    <x v="20"/>
    <s v="bill_payment"/>
    <s v="East"/>
    <n v="0.98"/>
  </r>
  <r>
    <s v="TXN100244"/>
    <n v="53"/>
    <x v="3"/>
    <s v="2026-01-05 1:28:00"/>
    <x v="14"/>
    <n v="299"/>
    <s v="UPI"/>
    <x v="0"/>
    <n v="91"/>
    <x v="3"/>
    <s v="travel"/>
    <s v="South"/>
    <n v="0"/>
  </r>
  <r>
    <s v="TXN100245"/>
    <n v="89"/>
    <x v="4"/>
    <s v="2026-01-03 16:41:00"/>
    <x v="29"/>
    <n v="149"/>
    <s v="Card"/>
    <x v="0"/>
    <n v="31"/>
    <x v="4"/>
    <s v="grocery"/>
    <s v="East"/>
    <n v="2.98"/>
  </r>
  <r>
    <s v="TXN100246"/>
    <n v="269"/>
    <x v="36"/>
    <s v="2026-01-23 14:28:00"/>
    <x v="20"/>
    <n v="149"/>
    <s v="UPI"/>
    <x v="0"/>
    <n v="78"/>
    <x v="36"/>
    <s v="travel"/>
    <s v="South"/>
    <n v="0"/>
  </r>
  <r>
    <s v="TXN100247"/>
    <n v="145"/>
    <x v="14"/>
    <s v="2026-01-06 11:23:00"/>
    <x v="4"/>
    <n v="799"/>
    <s v="UPI"/>
    <x v="0"/>
    <n v="52"/>
    <x v="14"/>
    <s v="travel"/>
    <s v="South"/>
    <n v="0"/>
  </r>
  <r>
    <s v="TXN100248"/>
    <n v="307"/>
    <x v="29"/>
    <s v="2026-01-25 10:43:00"/>
    <x v="21"/>
    <n v="1499"/>
    <s v="UPI"/>
    <x v="0"/>
    <n v="80"/>
    <x v="29"/>
    <s v="ecommerce"/>
    <s v="East"/>
    <n v="0"/>
  </r>
  <r>
    <s v="TXN100249"/>
    <n v="169"/>
    <x v="23"/>
    <s v="2026-01-21 10:04:00"/>
    <x v="8"/>
    <n v="1499"/>
    <s v="Wallet"/>
    <x v="0"/>
    <n v="71"/>
    <x v="23"/>
    <s v="food_delivery"/>
    <s v="East"/>
    <n v="22.485"/>
  </r>
  <r>
    <s v="TXN100250"/>
    <n v="130"/>
    <x v="38"/>
    <s v="2026-01-22 12:18:00"/>
    <x v="13"/>
    <n v="2999"/>
    <s v="Wallet"/>
    <x v="0"/>
    <n v="19"/>
    <x v="38"/>
    <s v="entertainment"/>
    <s v="North"/>
    <n v="44.985"/>
  </r>
  <r>
    <s v="TXN100251"/>
    <n v="340"/>
    <x v="34"/>
    <s v="2026-01-11 2:37:00"/>
    <x v="7"/>
    <n v="49"/>
    <s v="Card"/>
    <x v="0"/>
    <n v="44"/>
    <x v="34"/>
    <s v="grocery"/>
    <s v="West"/>
    <n v="0.98"/>
  </r>
  <r>
    <s v="TXN100252"/>
    <n v="340"/>
    <x v="22"/>
    <s v="2026-01-10 20:44:00"/>
    <x v="27"/>
    <n v="299"/>
    <s v="Card"/>
    <x v="0"/>
    <n v="16"/>
    <x v="22"/>
    <s v="food_delivery"/>
    <s v="East"/>
    <n v="5.98"/>
  </r>
  <r>
    <s v="TXN100253"/>
    <n v="159"/>
    <x v="25"/>
    <s v="2026-01-20 22:05:00"/>
    <x v="26"/>
    <n v="49"/>
    <s v="UPI"/>
    <x v="0"/>
    <n v="48"/>
    <x v="25"/>
    <s v="entertainment"/>
    <s v="East"/>
    <n v="0"/>
  </r>
  <r>
    <s v="TXN100254"/>
    <n v="66"/>
    <x v="36"/>
    <s v="2026-01-21 10:52:00"/>
    <x v="8"/>
    <n v="799"/>
    <s v="UPI"/>
    <x v="0"/>
    <n v="11"/>
    <x v="36"/>
    <s v="travel"/>
    <s v="South"/>
    <n v="0"/>
  </r>
  <r>
    <s v="TXN100255"/>
    <n v="261"/>
    <x v="31"/>
    <s v="2026-01-21 21:27:00"/>
    <x v="8"/>
    <n v="799"/>
    <s v="Card"/>
    <x v="0"/>
    <n v="2"/>
    <x v="31"/>
    <s v="grocery"/>
    <s v="North"/>
    <n v="15.98"/>
  </r>
  <r>
    <s v="TXN100256"/>
    <n v="110"/>
    <x v="3"/>
    <s v="2026-01-12 9:11:00"/>
    <x v="28"/>
    <n v="799"/>
    <s v="UPI"/>
    <x v="0"/>
    <n v="98"/>
    <x v="3"/>
    <s v="travel"/>
    <s v="South"/>
    <n v="0"/>
  </r>
  <r>
    <s v="TXN100257"/>
    <n v="71"/>
    <x v="34"/>
    <s v="2026-01-16 6:14:00"/>
    <x v="24"/>
    <n v="49"/>
    <s v="UPI"/>
    <x v="0"/>
    <n v="9"/>
    <x v="34"/>
    <s v="grocery"/>
    <s v="West"/>
    <n v="0"/>
  </r>
  <r>
    <s v="TXN100258"/>
    <n v="277"/>
    <x v="36"/>
    <s v="2026-01-10 3:32:00"/>
    <x v="27"/>
    <n v="49"/>
    <s v="UPI"/>
    <x v="0"/>
    <n v="4"/>
    <x v="36"/>
    <s v="travel"/>
    <s v="South"/>
    <n v="0"/>
  </r>
  <r>
    <s v="TXN100259"/>
    <n v="317"/>
    <x v="39"/>
    <s v="2026-01-22 10:56:00"/>
    <x v="13"/>
    <n v="499"/>
    <s v="Wallet"/>
    <x v="0"/>
    <n v="76"/>
    <x v="39"/>
    <s v="ecommerce"/>
    <s v="North"/>
    <n v="7.484999999999999"/>
  </r>
  <r>
    <s v="TXN100260"/>
    <n v="93"/>
    <x v="12"/>
    <s v="2026-01-13 4:10:00"/>
    <x v="11"/>
    <n v="299"/>
    <s v="UPI"/>
    <x v="0"/>
    <n v="21"/>
    <x v="12"/>
    <s v="entertainment"/>
    <s v="South"/>
    <n v="0"/>
  </r>
  <r>
    <s v="TXN100261"/>
    <n v="211"/>
    <x v="31"/>
    <s v="2026-01-24 14:02:00"/>
    <x v="2"/>
    <n v="99"/>
    <s v="Netbanking"/>
    <x v="0"/>
    <n v="86"/>
    <x v="31"/>
    <s v="grocery"/>
    <s v="North"/>
    <n v="0.99"/>
  </r>
  <r>
    <s v="TXN100262"/>
    <n v="313"/>
    <x v="13"/>
    <s v="2026-01-24 7:28:00"/>
    <x v="2"/>
    <n v="149"/>
    <s v="UPI"/>
    <x v="0"/>
    <n v="96"/>
    <x v="13"/>
    <s v="grocery"/>
    <s v="North"/>
    <n v="0"/>
  </r>
  <r>
    <s v="TXN100263"/>
    <n v="274"/>
    <x v="0"/>
    <s v="2026-01-24 14:14:00"/>
    <x v="2"/>
    <n v="49"/>
    <s v="Wallet"/>
    <x v="1"/>
    <n v="39"/>
    <x v="0"/>
    <s v="bill_payment"/>
    <s v="West"/>
    <n v="0.735"/>
  </r>
  <r>
    <s v="TXN100264"/>
    <n v="100"/>
    <x v="31"/>
    <s v="2026-01-26 15:57:00"/>
    <x v="16"/>
    <n v="299"/>
    <s v="UPI"/>
    <x v="0"/>
    <n v="86"/>
    <x v="31"/>
    <s v="grocery"/>
    <s v="North"/>
    <n v="0"/>
  </r>
  <r>
    <s v="TXN100265"/>
    <n v="145"/>
    <x v="14"/>
    <s v="2026-01-19 14:29:00"/>
    <x v="23"/>
    <n v="2999"/>
    <s v="Wallet"/>
    <x v="0"/>
    <n v="64"/>
    <x v="14"/>
    <s v="travel"/>
    <s v="South"/>
    <n v="44.985"/>
  </r>
  <r>
    <s v="TXN100266"/>
    <n v="103"/>
    <x v="38"/>
    <s v="2026-01-17 13:10:00"/>
    <x v="18"/>
    <n v="2999"/>
    <s v="Wallet"/>
    <x v="0"/>
    <n v="17"/>
    <x v="38"/>
    <s v="entertainment"/>
    <s v="North"/>
    <n v="44.985"/>
  </r>
  <r>
    <s v="TXN100267"/>
    <n v="329"/>
    <x v="20"/>
    <s v="2026-01-28 8:03:00"/>
    <x v="19"/>
    <n v="299"/>
    <s v="Wallet"/>
    <x v="0"/>
    <n v="47"/>
    <x v="20"/>
    <s v="bill_payment"/>
    <s v="East"/>
    <n v="4.484999999999999"/>
  </r>
  <r>
    <s v="TXN100268"/>
    <n v="265"/>
    <x v="30"/>
    <s v="2026-01-18 3:45:00"/>
    <x v="15"/>
    <n v="499"/>
    <s v="Netbanking"/>
    <x v="0"/>
    <n v="36"/>
    <x v="30"/>
    <s v="food_delivery"/>
    <s v="North"/>
    <n v="4.99"/>
  </r>
  <r>
    <s v="TXN100269"/>
    <n v="231"/>
    <x v="11"/>
    <s v="2026-01-03 5:17:00"/>
    <x v="29"/>
    <n v="149"/>
    <s v="UPI"/>
    <x v="1"/>
    <n v="18"/>
    <x v="11"/>
    <s v="bill_payment"/>
    <s v="East"/>
    <n v="0"/>
  </r>
  <r>
    <s v="TXN100270"/>
    <n v="114"/>
    <x v="26"/>
    <s v="2026-01-27 13:05:00"/>
    <x v="6"/>
    <n v="799"/>
    <s v="UPI"/>
    <x v="2"/>
    <n v="44"/>
    <x v="26"/>
    <s v="ecommerce"/>
    <s v="North"/>
    <n v="0"/>
  </r>
  <r>
    <s v="TXN100271"/>
    <n v="28"/>
    <x v="22"/>
    <s v="2026-01-30 0:26:00"/>
    <x v="3"/>
    <n v="1499"/>
    <s v="UPI"/>
    <x v="1"/>
    <n v="64"/>
    <x v="22"/>
    <s v="food_delivery"/>
    <s v="East"/>
    <n v="0"/>
  </r>
  <r>
    <s v="TXN100272"/>
    <n v="42"/>
    <x v="31"/>
    <s v="2026-01-12 7:24:00"/>
    <x v="28"/>
    <n v="149"/>
    <s v="UPI"/>
    <x v="0"/>
    <n v="28"/>
    <x v="31"/>
    <s v="grocery"/>
    <s v="North"/>
    <n v="0"/>
  </r>
  <r>
    <s v="TXN100273"/>
    <n v="51"/>
    <x v="3"/>
    <s v="2026-01-01 10:59:00"/>
    <x v="9"/>
    <n v="799"/>
    <s v="UPI"/>
    <x v="0"/>
    <n v="18"/>
    <x v="3"/>
    <s v="travel"/>
    <s v="South"/>
    <n v="0"/>
  </r>
  <r>
    <s v="TXN100274"/>
    <n v="242"/>
    <x v="39"/>
    <s v="2026-01-05 1:18:00"/>
    <x v="14"/>
    <n v="149"/>
    <s v="UPI"/>
    <x v="0"/>
    <n v="97"/>
    <x v="39"/>
    <s v="ecommerce"/>
    <s v="North"/>
    <n v="0"/>
  </r>
  <r>
    <s v="TXN100275"/>
    <n v="316"/>
    <x v="37"/>
    <s v="2026-01-23 15:28:00"/>
    <x v="20"/>
    <n v="149"/>
    <s v="UPI"/>
    <x v="0"/>
    <n v="10"/>
    <x v="37"/>
    <s v="ecommerce"/>
    <s v="South"/>
    <n v="0"/>
  </r>
  <r>
    <s v="TXN100276"/>
    <n v="77"/>
    <x v="25"/>
    <s v="2026-01-01 8:13:00"/>
    <x v="9"/>
    <n v="149"/>
    <s v="UPI"/>
    <x v="0"/>
    <n v="93"/>
    <x v="25"/>
    <s v="entertainment"/>
    <s v="East"/>
    <n v="0"/>
  </r>
  <r>
    <s v="TXN100277"/>
    <n v="57"/>
    <x v="13"/>
    <s v="2026-01-20 16:27:00"/>
    <x v="26"/>
    <n v="49"/>
    <s v="UPI"/>
    <x v="0"/>
    <n v="30"/>
    <x v="13"/>
    <s v="grocery"/>
    <s v="North"/>
    <n v="0"/>
  </r>
  <r>
    <s v="TXN100278"/>
    <n v="123"/>
    <x v="1"/>
    <s v="2026-01-10 3:03:00"/>
    <x v="27"/>
    <n v="149"/>
    <s v="Netbanking"/>
    <x v="0"/>
    <n v="81"/>
    <x v="1"/>
    <s v="ecommerce"/>
    <s v="North"/>
    <n v="1.49"/>
  </r>
  <r>
    <s v="TXN100279"/>
    <n v="33"/>
    <x v="30"/>
    <s v="2026-01-26 19:29:00"/>
    <x v="16"/>
    <n v="299"/>
    <s v="Wallet"/>
    <x v="0"/>
    <n v="63"/>
    <x v="30"/>
    <s v="food_delivery"/>
    <s v="North"/>
    <n v="4.484999999999999"/>
  </r>
  <r>
    <s v="TXN100280"/>
    <n v="324"/>
    <x v="11"/>
    <s v="2026-01-20 17:01:00"/>
    <x v="26"/>
    <n v="499"/>
    <s v="UPI"/>
    <x v="0"/>
    <n v="73"/>
    <x v="11"/>
    <s v="bill_payment"/>
    <s v="East"/>
    <n v="0"/>
  </r>
  <r>
    <s v="TXN100281"/>
    <n v="150"/>
    <x v="10"/>
    <s v="2026-01-08 22:09:00"/>
    <x v="5"/>
    <n v="49"/>
    <s v="UPI"/>
    <x v="1"/>
    <n v="0"/>
    <x v="10"/>
    <s v="ecommerce"/>
    <s v="South"/>
    <n v="0"/>
  </r>
  <r>
    <s v="TXN100282"/>
    <n v="293"/>
    <x v="1"/>
    <s v="2026-01-20 11:15:00"/>
    <x v="26"/>
    <n v="4999"/>
    <s v="UPI"/>
    <x v="0"/>
    <n v="23"/>
    <x v="1"/>
    <s v="ecommerce"/>
    <s v="North"/>
    <n v="0"/>
  </r>
  <r>
    <s v="TXN100283"/>
    <n v="269"/>
    <x v="31"/>
    <s v="2026-01-22 21:05:00"/>
    <x v="13"/>
    <n v="49"/>
    <s v="Wallet"/>
    <x v="0"/>
    <n v="8"/>
    <x v="31"/>
    <s v="grocery"/>
    <s v="North"/>
    <n v="0.735"/>
  </r>
  <r>
    <s v="TXN100284"/>
    <n v="260"/>
    <x v="25"/>
    <s v="2026-01-17 17:32:00"/>
    <x v="18"/>
    <n v="1499"/>
    <s v="UPI"/>
    <x v="0"/>
    <n v="2"/>
    <x v="25"/>
    <s v="entertainment"/>
    <s v="East"/>
    <n v="0"/>
  </r>
  <r>
    <s v="TXN100285"/>
    <n v="326"/>
    <x v="14"/>
    <s v="2026-01-13 15:02:00"/>
    <x v="11"/>
    <n v="49"/>
    <s v="UPI"/>
    <x v="0"/>
    <n v="47"/>
    <x v="14"/>
    <s v="travel"/>
    <s v="South"/>
    <n v="0"/>
  </r>
  <r>
    <s v="TXN100286"/>
    <n v="183"/>
    <x v="32"/>
    <s v="2026-01-09 23:01:00"/>
    <x v="10"/>
    <n v="49"/>
    <s v="Card"/>
    <x v="0"/>
    <n v="44"/>
    <x v="32"/>
    <s v="recharge"/>
    <s v="South"/>
    <n v="0.98"/>
  </r>
  <r>
    <s v="TXN100287"/>
    <n v="322"/>
    <x v="23"/>
    <s v="2026-01-08 23:42:00"/>
    <x v="5"/>
    <n v="299"/>
    <s v="UPI"/>
    <x v="0"/>
    <n v="98"/>
    <x v="23"/>
    <s v="food_delivery"/>
    <s v="East"/>
    <n v="0"/>
  </r>
  <r>
    <s v="TXN100288"/>
    <n v="171"/>
    <x v="39"/>
    <s v="2026-01-19 23:48:00"/>
    <x v="23"/>
    <n v="299"/>
    <s v="UPI"/>
    <x v="0"/>
    <n v="5"/>
    <x v="39"/>
    <s v="ecommerce"/>
    <s v="North"/>
    <n v="0"/>
  </r>
  <r>
    <s v="TXN100289"/>
    <n v="330"/>
    <x v="9"/>
    <s v="2026-01-12 17:21:00"/>
    <x v="28"/>
    <n v="1499"/>
    <s v="Netbanking"/>
    <x v="0"/>
    <n v="99"/>
    <x v="9"/>
    <s v="ecommerce"/>
    <s v="East"/>
    <n v="14.99"/>
  </r>
  <r>
    <s v="TXN100290"/>
    <n v="246"/>
    <x v="9"/>
    <s v="2026-01-22 14:44:00"/>
    <x v="13"/>
    <n v="99"/>
    <s v="Wallet"/>
    <x v="0"/>
    <n v="17"/>
    <x v="9"/>
    <s v="ecommerce"/>
    <s v="East"/>
    <n v="1.4849999999999999"/>
  </r>
  <r>
    <s v="TXN100291"/>
    <n v="235"/>
    <x v="4"/>
    <s v="2026-01-03 22:49:00"/>
    <x v="29"/>
    <n v="49"/>
    <s v="UPI"/>
    <x v="0"/>
    <n v="37"/>
    <x v="4"/>
    <s v="grocery"/>
    <s v="East"/>
    <n v="0"/>
  </r>
  <r>
    <s v="TXN100292"/>
    <n v="103"/>
    <x v="4"/>
    <s v="2026-01-07 1:50:00"/>
    <x v="25"/>
    <n v="499"/>
    <s v="UPI"/>
    <x v="0"/>
    <n v="40"/>
    <x v="4"/>
    <s v="grocery"/>
    <s v="East"/>
    <n v="0"/>
  </r>
  <r>
    <s v="TXN100293"/>
    <n v="204"/>
    <x v="8"/>
    <s v="2026-01-30 9:32:00"/>
    <x v="3"/>
    <n v="99"/>
    <s v="Wallet"/>
    <x v="0"/>
    <n v="60"/>
    <x v="8"/>
    <s v="recharge"/>
    <s v="East"/>
    <n v="1.4849999999999999"/>
  </r>
  <r>
    <s v="TXN100294"/>
    <n v="332"/>
    <x v="6"/>
    <s v="2026-01-09 1:48:00"/>
    <x v="10"/>
    <n v="49"/>
    <s v="Card"/>
    <x v="0"/>
    <n v="36"/>
    <x v="6"/>
    <s v="travel"/>
    <s v="East"/>
    <n v="0.98"/>
  </r>
  <r>
    <s v="TXN100295"/>
    <n v="336"/>
    <x v="3"/>
    <s v="2026-01-12 1:55:00"/>
    <x v="28"/>
    <n v="499"/>
    <s v="UPI"/>
    <x v="0"/>
    <n v="34"/>
    <x v="3"/>
    <s v="travel"/>
    <s v="South"/>
    <n v="0"/>
  </r>
  <r>
    <s v="TXN100296"/>
    <n v="205"/>
    <x v="26"/>
    <s v="2026-01-04 11:27:00"/>
    <x v="1"/>
    <n v="99"/>
    <s v="Wallet"/>
    <x v="0"/>
    <n v="49"/>
    <x v="26"/>
    <s v="ecommerce"/>
    <s v="North"/>
    <n v="1.4849999999999999"/>
  </r>
  <r>
    <s v="TXN100297"/>
    <n v="255"/>
    <x v="31"/>
    <s v="2026-01-11 5:31:00"/>
    <x v="7"/>
    <n v="799"/>
    <s v="UPI"/>
    <x v="0"/>
    <n v="66"/>
    <x v="31"/>
    <s v="grocery"/>
    <s v="North"/>
    <n v="0"/>
  </r>
  <r>
    <s v="TXN100298"/>
    <n v="218"/>
    <x v="18"/>
    <s v="2026-01-09 2:46:00"/>
    <x v="10"/>
    <n v="99"/>
    <s v="UPI"/>
    <x v="0"/>
    <n v="55"/>
    <x v="18"/>
    <s v="food_delivery"/>
    <s v="South"/>
    <n v="0"/>
  </r>
  <r>
    <s v="TXN100299"/>
    <n v="151"/>
    <x v="17"/>
    <s v="2026-01-20 5:34:00"/>
    <x v="26"/>
    <n v="49"/>
    <s v="UPI"/>
    <x v="0"/>
    <n v="13"/>
    <x v="17"/>
    <s v="food_delivery"/>
    <s v="East"/>
    <n v="0"/>
  </r>
  <r>
    <s v="TXN100300"/>
    <n v="152"/>
    <x v="15"/>
    <s v="2026-01-03 10:42:00"/>
    <x v="29"/>
    <n v="49"/>
    <s v="UPI"/>
    <x v="0"/>
    <n v="57"/>
    <x v="15"/>
    <s v="food_delivery"/>
    <s v="East"/>
    <n v="0"/>
  </r>
  <r>
    <s v="TXN100301"/>
    <n v="86"/>
    <x v="26"/>
    <s v="2026-01-20 22:27:00"/>
    <x v="26"/>
    <n v="149"/>
    <s v="Card"/>
    <x v="0"/>
    <n v="44"/>
    <x v="26"/>
    <s v="ecommerce"/>
    <s v="North"/>
    <n v="2.98"/>
  </r>
  <r>
    <s v="TXN100302"/>
    <n v="181"/>
    <x v="12"/>
    <s v="2026-01-15 1:46:00"/>
    <x v="17"/>
    <n v="149"/>
    <s v="UPI"/>
    <x v="0"/>
    <n v="55"/>
    <x v="12"/>
    <s v="entertainment"/>
    <s v="South"/>
    <n v="0"/>
  </r>
  <r>
    <s v="TXN100303"/>
    <n v="30"/>
    <x v="32"/>
    <s v="2026-01-09 20:50:00"/>
    <x v="10"/>
    <n v="299"/>
    <s v="UPI"/>
    <x v="0"/>
    <n v="85"/>
    <x v="32"/>
    <s v="recharge"/>
    <s v="South"/>
    <n v="0"/>
  </r>
  <r>
    <s v="TXN100304"/>
    <n v="263"/>
    <x v="2"/>
    <s v="2026-01-21 12:23:00"/>
    <x v="8"/>
    <n v="149"/>
    <s v="Wallet"/>
    <x v="0"/>
    <n v="3"/>
    <x v="2"/>
    <s v="ecommerce"/>
    <s v="North"/>
    <n v="2.235"/>
  </r>
  <r>
    <s v="TXN100305"/>
    <n v="225"/>
    <x v="4"/>
    <s v="2026-01-05 19:43:00"/>
    <x v="14"/>
    <n v="99"/>
    <s v="Netbanking"/>
    <x v="0"/>
    <n v="16"/>
    <x v="4"/>
    <s v="grocery"/>
    <s v="East"/>
    <n v="0.99"/>
  </r>
  <r>
    <s v="TXN100306"/>
    <n v="331"/>
    <x v="31"/>
    <s v="2026-01-03 7:49:00"/>
    <x v="29"/>
    <n v="49"/>
    <s v="Card"/>
    <x v="0"/>
    <n v="46"/>
    <x v="31"/>
    <s v="grocery"/>
    <s v="North"/>
    <n v="0.98"/>
  </r>
  <r>
    <s v="TXN100307"/>
    <n v="310"/>
    <x v="34"/>
    <s v="2026-01-13 18:02:00"/>
    <x v="11"/>
    <n v="1499"/>
    <s v="Card"/>
    <x v="0"/>
    <n v="86"/>
    <x v="34"/>
    <s v="grocery"/>
    <s v="West"/>
    <n v="29.98"/>
  </r>
  <r>
    <s v="TXN100308"/>
    <n v="228"/>
    <x v="32"/>
    <s v="2026-01-15 11:23:00"/>
    <x v="17"/>
    <n v="49"/>
    <s v="UPI"/>
    <x v="0"/>
    <n v="73"/>
    <x v="32"/>
    <s v="recharge"/>
    <s v="South"/>
    <n v="0"/>
  </r>
  <r>
    <s v="TXN100309"/>
    <n v="204"/>
    <x v="17"/>
    <s v="2026-01-05 16:23:00"/>
    <x v="14"/>
    <n v="499"/>
    <s v="UPI"/>
    <x v="0"/>
    <n v="83"/>
    <x v="17"/>
    <s v="food_delivery"/>
    <s v="East"/>
    <n v="0"/>
  </r>
  <r>
    <s v="TXN100310"/>
    <n v="14"/>
    <x v="9"/>
    <s v="2026-01-09 7:07:00"/>
    <x v="10"/>
    <n v="799"/>
    <s v="Netbanking"/>
    <x v="0"/>
    <n v="63"/>
    <x v="9"/>
    <s v="ecommerce"/>
    <s v="East"/>
    <n v="7.99"/>
  </r>
  <r>
    <s v="TXN100311"/>
    <n v="288"/>
    <x v="30"/>
    <s v="2026-01-17 12:58:00"/>
    <x v="18"/>
    <n v="49"/>
    <s v="UPI"/>
    <x v="0"/>
    <n v="33"/>
    <x v="30"/>
    <s v="food_delivery"/>
    <s v="North"/>
    <n v="0"/>
  </r>
  <r>
    <s v="TXN100312"/>
    <n v="229"/>
    <x v="16"/>
    <s v="2026-01-25 8:45:00"/>
    <x v="21"/>
    <n v="1499"/>
    <s v="UPI"/>
    <x v="0"/>
    <n v="78"/>
    <x v="16"/>
    <s v="grocery"/>
    <s v="East"/>
    <n v="0"/>
  </r>
  <r>
    <s v="TXN100313"/>
    <n v="252"/>
    <x v="6"/>
    <s v="2026-01-10 22:58:00"/>
    <x v="27"/>
    <n v="99"/>
    <s v="Wallet"/>
    <x v="0"/>
    <n v="15"/>
    <x v="6"/>
    <s v="travel"/>
    <s v="East"/>
    <n v="1.4849999999999999"/>
  </r>
  <r>
    <s v="TXN100314"/>
    <n v="89"/>
    <x v="26"/>
    <s v="2026-01-05 2:28:00"/>
    <x v="14"/>
    <n v="799"/>
    <s v="UPI"/>
    <x v="0"/>
    <n v="11"/>
    <x v="26"/>
    <s v="ecommerce"/>
    <s v="North"/>
    <n v="0"/>
  </r>
  <r>
    <s v="TXN100315"/>
    <n v="164"/>
    <x v="5"/>
    <s v="2026-01-26 21:54:00"/>
    <x v="16"/>
    <n v="49"/>
    <s v="Netbanking"/>
    <x v="0"/>
    <n v="90"/>
    <x v="5"/>
    <s v="travel"/>
    <s v="North"/>
    <n v="0.49"/>
  </r>
  <r>
    <s v="TXN100316"/>
    <n v="149"/>
    <x v="15"/>
    <s v="2026-01-03 17:34:00"/>
    <x v="29"/>
    <n v="299"/>
    <s v="Wallet"/>
    <x v="0"/>
    <n v="20"/>
    <x v="15"/>
    <s v="food_delivery"/>
    <s v="East"/>
    <n v="4.484999999999999"/>
  </r>
  <r>
    <s v="TXN100317"/>
    <n v="327"/>
    <x v="9"/>
    <s v="2026-01-23 22:59:00"/>
    <x v="20"/>
    <n v="49"/>
    <s v="Netbanking"/>
    <x v="0"/>
    <n v="46"/>
    <x v="9"/>
    <s v="ecommerce"/>
    <s v="East"/>
    <n v="0.49"/>
  </r>
  <r>
    <s v="TXN100318"/>
    <n v="103"/>
    <x v="39"/>
    <s v="2026-01-17 7:07:00"/>
    <x v="18"/>
    <n v="149"/>
    <s v="UPI"/>
    <x v="0"/>
    <n v="30"/>
    <x v="39"/>
    <s v="ecommerce"/>
    <s v="North"/>
    <n v="0"/>
  </r>
  <r>
    <s v="TXN100319"/>
    <n v="185"/>
    <x v="25"/>
    <s v="2026-01-26 15:01:00"/>
    <x v="16"/>
    <n v="49"/>
    <s v="Wallet"/>
    <x v="0"/>
    <n v="73"/>
    <x v="25"/>
    <s v="entertainment"/>
    <s v="East"/>
    <n v="0.735"/>
  </r>
  <r>
    <s v="TXN100320"/>
    <n v="283"/>
    <x v="39"/>
    <s v="2026-01-12 14:51:00"/>
    <x v="28"/>
    <n v="299"/>
    <s v="UPI"/>
    <x v="0"/>
    <n v="78"/>
    <x v="39"/>
    <s v="ecommerce"/>
    <s v="North"/>
    <n v="0"/>
  </r>
  <r>
    <s v="TXN100321"/>
    <n v="159"/>
    <x v="22"/>
    <s v="2026-01-29 2:04:00"/>
    <x v="0"/>
    <n v="99"/>
    <s v="UPI"/>
    <x v="0"/>
    <n v="91"/>
    <x v="22"/>
    <s v="food_delivery"/>
    <s v="East"/>
    <n v="0"/>
  </r>
  <r>
    <s v="TXN100322"/>
    <n v="211"/>
    <x v="1"/>
    <s v="2026-01-24 15:33:00"/>
    <x v="2"/>
    <n v="99"/>
    <s v="Wallet"/>
    <x v="0"/>
    <n v="73"/>
    <x v="1"/>
    <s v="ecommerce"/>
    <s v="North"/>
    <n v="1.4849999999999999"/>
  </r>
  <r>
    <s v="TXN100323"/>
    <n v="329"/>
    <x v="32"/>
    <s v="2026-01-03 4:20:00"/>
    <x v="29"/>
    <n v="499"/>
    <s v="Netbanking"/>
    <x v="0"/>
    <n v="57"/>
    <x v="32"/>
    <s v="recharge"/>
    <s v="South"/>
    <n v="4.99"/>
  </r>
  <r>
    <s v="TXN100324"/>
    <n v="177"/>
    <x v="39"/>
    <s v="2026-01-15 21:33:00"/>
    <x v="17"/>
    <n v="99"/>
    <s v="UPI"/>
    <x v="0"/>
    <n v="99"/>
    <x v="39"/>
    <s v="ecommerce"/>
    <s v="North"/>
    <n v="0"/>
  </r>
  <r>
    <s v="TXN100325"/>
    <n v="94"/>
    <x v="39"/>
    <s v="2026-01-18 20:37:00"/>
    <x v="15"/>
    <n v="299"/>
    <s v="UPI"/>
    <x v="0"/>
    <n v="55"/>
    <x v="39"/>
    <s v="ecommerce"/>
    <s v="North"/>
    <n v="0"/>
  </r>
  <r>
    <s v="TXN100326"/>
    <n v="64"/>
    <x v="36"/>
    <s v="2026-01-17 1:53:00"/>
    <x v="18"/>
    <n v="299"/>
    <s v="UPI"/>
    <x v="0"/>
    <n v="19"/>
    <x v="36"/>
    <s v="travel"/>
    <s v="South"/>
    <n v="0"/>
  </r>
  <r>
    <s v="TXN100327"/>
    <n v="166"/>
    <x v="19"/>
    <s v="2026-01-10 5:10:00"/>
    <x v="27"/>
    <n v="49"/>
    <s v="UPI"/>
    <x v="0"/>
    <n v="44"/>
    <x v="19"/>
    <s v="travel"/>
    <s v="North"/>
    <n v="0"/>
  </r>
  <r>
    <s v="TXN100328"/>
    <n v="41"/>
    <x v="28"/>
    <s v="2026-01-17 9:54:00"/>
    <x v="18"/>
    <n v="299"/>
    <s v="Wallet"/>
    <x v="0"/>
    <n v="25"/>
    <x v="28"/>
    <s v="grocery"/>
    <s v="North"/>
    <n v="4.484999999999999"/>
  </r>
  <r>
    <s v="TXN100329"/>
    <n v="65"/>
    <x v="15"/>
    <s v="2026-01-21 17:17:00"/>
    <x v="8"/>
    <n v="99"/>
    <s v="Card"/>
    <x v="0"/>
    <n v="78"/>
    <x v="15"/>
    <s v="food_delivery"/>
    <s v="East"/>
    <n v="1.98"/>
  </r>
  <r>
    <s v="TXN100330"/>
    <n v="329"/>
    <x v="2"/>
    <s v="2026-01-18 2:32:00"/>
    <x v="15"/>
    <n v="499"/>
    <s v="UPI"/>
    <x v="0"/>
    <n v="75"/>
    <x v="2"/>
    <s v="ecommerce"/>
    <s v="North"/>
    <n v="0"/>
  </r>
  <r>
    <s v="TXN100331"/>
    <n v="338"/>
    <x v="12"/>
    <s v="2026-01-19 4:10:00"/>
    <x v="23"/>
    <n v="149"/>
    <s v="UPI"/>
    <x v="0"/>
    <n v="92"/>
    <x v="12"/>
    <s v="entertainment"/>
    <s v="South"/>
    <n v="0"/>
  </r>
  <r>
    <s v="TXN100332"/>
    <n v="289"/>
    <x v="4"/>
    <s v="2026-01-29 19:21:00"/>
    <x v="0"/>
    <n v="49"/>
    <s v="Netbanking"/>
    <x v="0"/>
    <n v="3"/>
    <x v="4"/>
    <s v="grocery"/>
    <s v="East"/>
    <n v="0.49"/>
  </r>
  <r>
    <s v="TXN100333"/>
    <n v="296"/>
    <x v="28"/>
    <s v="2026-01-03 1:41:00"/>
    <x v="29"/>
    <n v="99"/>
    <s v="UPI"/>
    <x v="0"/>
    <n v="83"/>
    <x v="28"/>
    <s v="grocery"/>
    <s v="North"/>
    <n v="0"/>
  </r>
  <r>
    <s v="TXN100334"/>
    <n v="317"/>
    <x v="27"/>
    <s v="2026-01-07 18:26:00"/>
    <x v="25"/>
    <n v="499"/>
    <s v="Card"/>
    <x v="0"/>
    <n v="63"/>
    <x v="27"/>
    <s v="grocery"/>
    <s v="West"/>
    <n v="9.98"/>
  </r>
  <r>
    <s v="TXN100335"/>
    <n v="149"/>
    <x v="15"/>
    <s v="2026-01-29 20:34:00"/>
    <x v="0"/>
    <n v="499"/>
    <s v="Card"/>
    <x v="0"/>
    <n v="61"/>
    <x v="15"/>
    <s v="food_delivery"/>
    <s v="East"/>
    <n v="9.98"/>
  </r>
  <r>
    <s v="TXN100336"/>
    <n v="153"/>
    <x v="24"/>
    <s v="2026-01-08 21:25:00"/>
    <x v="5"/>
    <n v="299"/>
    <s v="UPI"/>
    <x v="0"/>
    <n v="9"/>
    <x v="24"/>
    <s v="travel"/>
    <s v="West"/>
    <n v="0"/>
  </r>
  <r>
    <s v="TXN100337"/>
    <n v="226"/>
    <x v="1"/>
    <s v="2026-01-23 1:10:00"/>
    <x v="20"/>
    <n v="2999"/>
    <s v="UPI"/>
    <x v="2"/>
    <n v="61"/>
    <x v="1"/>
    <s v="ecommerce"/>
    <s v="North"/>
    <n v="0"/>
  </r>
  <r>
    <s v="TXN100338"/>
    <n v="311"/>
    <x v="34"/>
    <s v="2026-01-15 6:21:00"/>
    <x v="17"/>
    <n v="2999"/>
    <s v="UPI"/>
    <x v="0"/>
    <n v="40"/>
    <x v="34"/>
    <s v="grocery"/>
    <s v="West"/>
    <n v="0"/>
  </r>
  <r>
    <s v="TXN100339"/>
    <n v="177"/>
    <x v="22"/>
    <s v="2026-01-28 22:20:00"/>
    <x v="19"/>
    <n v="1499"/>
    <s v="UPI"/>
    <x v="0"/>
    <n v="16"/>
    <x v="22"/>
    <s v="food_delivery"/>
    <s v="East"/>
    <n v="0"/>
  </r>
  <r>
    <s v="TXN100340"/>
    <n v="288"/>
    <x v="23"/>
    <s v="2026-01-25 11:32:00"/>
    <x v="21"/>
    <n v="99"/>
    <s v="Netbanking"/>
    <x v="0"/>
    <n v="40"/>
    <x v="23"/>
    <s v="food_delivery"/>
    <s v="East"/>
    <n v="0.99"/>
  </r>
  <r>
    <s v="TXN100341"/>
    <n v="137"/>
    <x v="26"/>
    <s v="2026-01-08 14:07:00"/>
    <x v="5"/>
    <n v="2999"/>
    <s v="UPI"/>
    <x v="1"/>
    <n v="31"/>
    <x v="26"/>
    <s v="ecommerce"/>
    <s v="North"/>
    <n v="0"/>
  </r>
  <r>
    <s v="TXN100342"/>
    <n v="149"/>
    <x v="14"/>
    <s v="2026-01-05 3:03:00"/>
    <x v="14"/>
    <n v="1499"/>
    <s v="UPI"/>
    <x v="0"/>
    <n v="78"/>
    <x v="14"/>
    <s v="travel"/>
    <s v="South"/>
    <n v="0"/>
  </r>
  <r>
    <s v="TXN100343"/>
    <n v="82"/>
    <x v="17"/>
    <s v="2026-01-14 7:55:00"/>
    <x v="12"/>
    <n v="49"/>
    <s v="Wallet"/>
    <x v="0"/>
    <n v="73"/>
    <x v="17"/>
    <s v="food_delivery"/>
    <s v="East"/>
    <n v="0.735"/>
  </r>
  <r>
    <s v="TXN100344"/>
    <n v="82"/>
    <x v="33"/>
    <s v="2026-01-24 10:12:00"/>
    <x v="2"/>
    <n v="49"/>
    <s v="UPI"/>
    <x v="0"/>
    <n v="65"/>
    <x v="33"/>
    <s v="food_delivery"/>
    <s v="West"/>
    <n v="0"/>
  </r>
  <r>
    <s v="TXN100345"/>
    <n v="158"/>
    <x v="33"/>
    <s v="2026-01-15 15:56:00"/>
    <x v="17"/>
    <n v="99"/>
    <s v="Wallet"/>
    <x v="0"/>
    <n v="2"/>
    <x v="33"/>
    <s v="food_delivery"/>
    <s v="West"/>
    <n v="1.4849999999999999"/>
  </r>
  <r>
    <s v="TXN100346"/>
    <n v="235"/>
    <x v="0"/>
    <s v="2026-01-03 12:32:00"/>
    <x v="29"/>
    <n v="99"/>
    <s v="UPI"/>
    <x v="0"/>
    <n v="27"/>
    <x v="0"/>
    <s v="bill_payment"/>
    <s v="West"/>
    <n v="0"/>
  </r>
  <r>
    <s v="TXN100347"/>
    <n v="26"/>
    <x v="13"/>
    <s v="2026-01-19 11:03:00"/>
    <x v="23"/>
    <n v="99"/>
    <s v="Wallet"/>
    <x v="0"/>
    <n v="63"/>
    <x v="13"/>
    <s v="grocery"/>
    <s v="North"/>
    <n v="1.4849999999999999"/>
  </r>
  <r>
    <s v="TXN100348"/>
    <n v="241"/>
    <x v="13"/>
    <s v="2026-01-20 20:43:00"/>
    <x v="26"/>
    <n v="299"/>
    <s v="UPI"/>
    <x v="0"/>
    <n v="68"/>
    <x v="13"/>
    <s v="grocery"/>
    <s v="North"/>
    <n v="0"/>
  </r>
  <r>
    <s v="TXN100349"/>
    <n v="69"/>
    <x v="28"/>
    <s v="2026-01-01 3:27:00"/>
    <x v="9"/>
    <n v="1499"/>
    <s v="UPI"/>
    <x v="0"/>
    <n v="93"/>
    <x v="28"/>
    <s v="grocery"/>
    <s v="North"/>
    <n v="0"/>
  </r>
  <r>
    <s v="TXN100350"/>
    <n v="24"/>
    <x v="22"/>
    <s v="2026-01-12 12:23:00"/>
    <x v="28"/>
    <n v="299"/>
    <s v="Netbanking"/>
    <x v="0"/>
    <n v="6"/>
    <x v="22"/>
    <s v="food_delivery"/>
    <s v="East"/>
    <n v="2.99"/>
  </r>
  <r>
    <s v="TXN100351"/>
    <n v="186"/>
    <x v="25"/>
    <s v="2026-01-19 17:12:00"/>
    <x v="23"/>
    <n v="4999"/>
    <s v="UPI"/>
    <x v="0"/>
    <n v="36"/>
    <x v="25"/>
    <s v="entertainment"/>
    <s v="East"/>
    <n v="0"/>
  </r>
  <r>
    <s v="TXN100352"/>
    <n v="231"/>
    <x v="25"/>
    <s v="2026-01-03 12:32:00"/>
    <x v="29"/>
    <n v="149"/>
    <s v="UPI"/>
    <x v="0"/>
    <n v="35"/>
    <x v="25"/>
    <s v="entertainment"/>
    <s v="East"/>
    <n v="0"/>
  </r>
  <r>
    <s v="TXN100353"/>
    <n v="313"/>
    <x v="30"/>
    <s v="2026-01-27 19:43:00"/>
    <x v="6"/>
    <n v="1499"/>
    <s v="Netbanking"/>
    <x v="0"/>
    <n v="16"/>
    <x v="30"/>
    <s v="food_delivery"/>
    <s v="North"/>
    <n v="14.99"/>
  </r>
  <r>
    <s v="TXN100354"/>
    <n v="174"/>
    <x v="25"/>
    <s v="2026-01-04 12:23:00"/>
    <x v="1"/>
    <n v="149"/>
    <s v="UPI"/>
    <x v="0"/>
    <n v="46"/>
    <x v="25"/>
    <s v="entertainment"/>
    <s v="East"/>
    <n v="0"/>
  </r>
  <r>
    <s v="TXN100355"/>
    <n v="309"/>
    <x v="11"/>
    <s v="2026-01-25 4:12:00"/>
    <x v="21"/>
    <n v="99"/>
    <s v="UPI"/>
    <x v="0"/>
    <n v="51"/>
    <x v="11"/>
    <s v="bill_payment"/>
    <s v="East"/>
    <n v="0"/>
  </r>
  <r>
    <s v="TXN100356"/>
    <n v="20"/>
    <x v="39"/>
    <s v="2026-01-17 1:02:00"/>
    <x v="18"/>
    <n v="99"/>
    <s v="UPI"/>
    <x v="0"/>
    <n v="91"/>
    <x v="39"/>
    <s v="ecommerce"/>
    <s v="North"/>
    <n v="0"/>
  </r>
  <r>
    <s v="TXN100357"/>
    <n v="234"/>
    <x v="34"/>
    <s v="2026-01-11 15:33:00"/>
    <x v="7"/>
    <n v="49"/>
    <s v="UPI"/>
    <x v="0"/>
    <n v="77"/>
    <x v="34"/>
    <s v="grocery"/>
    <s v="West"/>
    <n v="0"/>
  </r>
  <r>
    <s v="TXN100358"/>
    <n v="168"/>
    <x v="12"/>
    <s v="2026-01-29 16:08:00"/>
    <x v="0"/>
    <n v="149"/>
    <s v="UPI"/>
    <x v="2"/>
    <n v="40"/>
    <x v="12"/>
    <s v="entertainment"/>
    <s v="South"/>
    <n v="0"/>
  </r>
  <r>
    <s v="TXN100359"/>
    <n v="154"/>
    <x v="35"/>
    <s v="2026-01-06 12:39:00"/>
    <x v="4"/>
    <n v="99"/>
    <s v="Netbanking"/>
    <x v="0"/>
    <n v="43"/>
    <x v="35"/>
    <s v="grocery"/>
    <s v="East"/>
    <n v="0.99"/>
  </r>
  <r>
    <s v="TXN100360"/>
    <n v="251"/>
    <x v="21"/>
    <s v="2026-01-17 16:34:00"/>
    <x v="18"/>
    <n v="49"/>
    <s v="UPI"/>
    <x v="0"/>
    <n v="38"/>
    <x v="21"/>
    <s v="entertainment"/>
    <s v="South"/>
    <n v="0"/>
  </r>
  <r>
    <s v="TXN100361"/>
    <n v="170"/>
    <x v="30"/>
    <s v="2026-01-16 0:23:00"/>
    <x v="24"/>
    <n v="2999"/>
    <s v="UPI"/>
    <x v="0"/>
    <n v="53"/>
    <x v="30"/>
    <s v="food_delivery"/>
    <s v="North"/>
    <n v="0"/>
  </r>
  <r>
    <s v="TXN100362"/>
    <n v="323"/>
    <x v="27"/>
    <s v="2026-01-19 9:50:00"/>
    <x v="23"/>
    <n v="49"/>
    <s v="Netbanking"/>
    <x v="0"/>
    <n v="76"/>
    <x v="27"/>
    <s v="grocery"/>
    <s v="West"/>
    <n v="0.49"/>
  </r>
  <r>
    <s v="TXN100363"/>
    <n v="297"/>
    <x v="21"/>
    <s v="2026-01-16 8:41:00"/>
    <x v="24"/>
    <n v="2999"/>
    <s v="Wallet"/>
    <x v="0"/>
    <n v="29"/>
    <x v="21"/>
    <s v="entertainment"/>
    <s v="South"/>
    <n v="44.985"/>
  </r>
  <r>
    <s v="TXN100364"/>
    <n v="246"/>
    <x v="2"/>
    <s v="2026-01-24 1:37:00"/>
    <x v="2"/>
    <n v="299"/>
    <s v="UPI"/>
    <x v="0"/>
    <n v="67"/>
    <x v="2"/>
    <s v="ecommerce"/>
    <s v="North"/>
    <n v="0"/>
  </r>
  <r>
    <s v="TXN100365"/>
    <n v="195"/>
    <x v="34"/>
    <s v="2026-01-21 23:39:00"/>
    <x v="8"/>
    <n v="99"/>
    <s v="UPI"/>
    <x v="0"/>
    <n v="87"/>
    <x v="34"/>
    <s v="grocery"/>
    <s v="West"/>
    <n v="0"/>
  </r>
  <r>
    <s v="TXN100366"/>
    <n v="57"/>
    <x v="6"/>
    <s v="2026-01-08 1:36:00"/>
    <x v="5"/>
    <n v="149"/>
    <s v="UPI"/>
    <x v="0"/>
    <n v="2"/>
    <x v="6"/>
    <s v="travel"/>
    <s v="East"/>
    <n v="0"/>
  </r>
  <r>
    <s v="TXN100367"/>
    <n v="78"/>
    <x v="1"/>
    <s v="2026-01-15 10:26:00"/>
    <x v="17"/>
    <n v="1499"/>
    <s v="Netbanking"/>
    <x v="1"/>
    <n v="88"/>
    <x v="1"/>
    <s v="ecommerce"/>
    <s v="North"/>
    <n v="14.99"/>
  </r>
  <r>
    <s v="TXN100368"/>
    <n v="314"/>
    <x v="20"/>
    <s v="2026-01-07 13:32:00"/>
    <x v="25"/>
    <n v="49"/>
    <s v="UPI"/>
    <x v="2"/>
    <n v="94"/>
    <x v="20"/>
    <s v="bill_payment"/>
    <s v="East"/>
    <n v="0"/>
  </r>
  <r>
    <s v="TXN100369"/>
    <n v="71"/>
    <x v="36"/>
    <s v="2026-01-24 1:45:00"/>
    <x v="2"/>
    <n v="499"/>
    <s v="UPI"/>
    <x v="0"/>
    <n v="26"/>
    <x v="36"/>
    <s v="travel"/>
    <s v="South"/>
    <n v="0"/>
  </r>
  <r>
    <s v="TXN100370"/>
    <n v="245"/>
    <x v="36"/>
    <s v="2026-01-18 10:42:00"/>
    <x v="15"/>
    <n v="99"/>
    <s v="UPI"/>
    <x v="0"/>
    <n v="48"/>
    <x v="36"/>
    <s v="travel"/>
    <s v="South"/>
    <n v="0"/>
  </r>
  <r>
    <s v="TXN100371"/>
    <n v="273"/>
    <x v="3"/>
    <s v="2026-01-11 5:29:00"/>
    <x v="7"/>
    <n v="299"/>
    <s v="Wallet"/>
    <x v="0"/>
    <n v="69"/>
    <x v="3"/>
    <s v="travel"/>
    <s v="South"/>
    <n v="4.484999999999999"/>
  </r>
  <r>
    <s v="TXN100372"/>
    <n v="349"/>
    <x v="28"/>
    <s v="2026-01-12 21:49:00"/>
    <x v="28"/>
    <n v="1499"/>
    <s v="UPI"/>
    <x v="0"/>
    <n v="78"/>
    <x v="28"/>
    <s v="grocery"/>
    <s v="North"/>
    <n v="0"/>
  </r>
  <r>
    <s v="TXN100373"/>
    <n v="143"/>
    <x v="25"/>
    <s v="2026-01-16 6:15:00"/>
    <x v="24"/>
    <n v="1499"/>
    <s v="Netbanking"/>
    <x v="0"/>
    <n v="38"/>
    <x v="25"/>
    <s v="entertainment"/>
    <s v="East"/>
    <n v="14.99"/>
  </r>
  <r>
    <s v="TXN100374"/>
    <n v="148"/>
    <x v="16"/>
    <s v="2026-01-08 9:49:00"/>
    <x v="5"/>
    <n v="799"/>
    <s v="Wallet"/>
    <x v="0"/>
    <n v="88"/>
    <x v="16"/>
    <s v="grocery"/>
    <s v="East"/>
    <n v="11.985"/>
  </r>
  <r>
    <s v="TXN100375"/>
    <n v="246"/>
    <x v="5"/>
    <s v="2026-01-23 15:20:00"/>
    <x v="20"/>
    <n v="49"/>
    <s v="UPI"/>
    <x v="0"/>
    <n v="71"/>
    <x v="5"/>
    <s v="travel"/>
    <s v="North"/>
    <n v="0"/>
  </r>
  <r>
    <s v="TXN100376"/>
    <n v="148"/>
    <x v="30"/>
    <s v="2026-01-30 23:17:00"/>
    <x v="3"/>
    <n v="99"/>
    <s v="Wallet"/>
    <x v="0"/>
    <n v="73"/>
    <x v="30"/>
    <s v="food_delivery"/>
    <s v="North"/>
    <n v="1.4849999999999999"/>
  </r>
  <r>
    <s v="TXN100377"/>
    <n v="203"/>
    <x v="5"/>
    <s v="2026-01-22 17:24:00"/>
    <x v="13"/>
    <n v="49"/>
    <s v="UPI"/>
    <x v="0"/>
    <n v="98"/>
    <x v="5"/>
    <s v="travel"/>
    <s v="North"/>
    <n v="0"/>
  </r>
  <r>
    <s v="TXN100378"/>
    <n v="22"/>
    <x v="13"/>
    <s v="2026-01-26 4:18:00"/>
    <x v="16"/>
    <n v="49"/>
    <s v="Card"/>
    <x v="0"/>
    <n v="91"/>
    <x v="13"/>
    <s v="grocery"/>
    <s v="North"/>
    <n v="0.98"/>
  </r>
  <r>
    <s v="TXN100379"/>
    <n v="227"/>
    <x v="28"/>
    <s v="2026-01-03 11:59:00"/>
    <x v="29"/>
    <n v="299"/>
    <s v="Wallet"/>
    <x v="0"/>
    <n v="95"/>
    <x v="28"/>
    <s v="grocery"/>
    <s v="North"/>
    <n v="4.484999999999999"/>
  </r>
  <r>
    <s v="TXN100380"/>
    <n v="276"/>
    <x v="7"/>
    <s v="2026-01-16 6:12:00"/>
    <x v="24"/>
    <n v="149"/>
    <s v="Wallet"/>
    <x v="0"/>
    <n v="71"/>
    <x v="7"/>
    <s v="grocery"/>
    <s v="West"/>
    <n v="2.235"/>
  </r>
  <r>
    <s v="TXN100381"/>
    <n v="56"/>
    <x v="12"/>
    <s v="2026-01-23 8:08:00"/>
    <x v="20"/>
    <n v="99"/>
    <s v="Card"/>
    <x v="0"/>
    <n v="94"/>
    <x v="12"/>
    <s v="entertainment"/>
    <s v="South"/>
    <n v="1.98"/>
  </r>
  <r>
    <s v="TXN100382"/>
    <n v="26"/>
    <x v="36"/>
    <s v="2026-01-19 7:15:00"/>
    <x v="23"/>
    <n v="499"/>
    <s v="Card"/>
    <x v="0"/>
    <n v="28"/>
    <x v="36"/>
    <s v="travel"/>
    <s v="South"/>
    <n v="9.98"/>
  </r>
  <r>
    <s v="TXN100383"/>
    <n v="52"/>
    <x v="1"/>
    <s v="2026-01-21 7:03:00"/>
    <x v="8"/>
    <n v="499"/>
    <s v="Card"/>
    <x v="0"/>
    <n v="42"/>
    <x v="1"/>
    <s v="ecommerce"/>
    <s v="North"/>
    <n v="9.98"/>
  </r>
  <r>
    <s v="TXN100384"/>
    <n v="349"/>
    <x v="39"/>
    <s v="2026-01-23 15:06:00"/>
    <x v="20"/>
    <n v="499"/>
    <s v="Wallet"/>
    <x v="0"/>
    <n v="0"/>
    <x v="39"/>
    <s v="ecommerce"/>
    <s v="North"/>
    <n v="7.484999999999999"/>
  </r>
  <r>
    <s v="TXN100385"/>
    <n v="335"/>
    <x v="20"/>
    <s v="2026-01-18 5:26:00"/>
    <x v="15"/>
    <n v="49"/>
    <s v="Card"/>
    <x v="0"/>
    <n v="61"/>
    <x v="20"/>
    <s v="bill_payment"/>
    <s v="East"/>
    <n v="0.98"/>
  </r>
  <r>
    <s v="TXN100386"/>
    <n v="148"/>
    <x v="17"/>
    <s v="2026-01-21 6:48:00"/>
    <x v="8"/>
    <n v="49"/>
    <s v="Card"/>
    <x v="0"/>
    <n v="36"/>
    <x v="17"/>
    <s v="food_delivery"/>
    <s v="East"/>
    <n v="0.98"/>
  </r>
  <r>
    <s v="TXN100387"/>
    <n v="46"/>
    <x v="21"/>
    <s v="2026-01-21 1:58:00"/>
    <x v="8"/>
    <n v="99"/>
    <s v="Wallet"/>
    <x v="0"/>
    <n v="29"/>
    <x v="21"/>
    <s v="entertainment"/>
    <s v="South"/>
    <n v="1.4849999999999999"/>
  </r>
  <r>
    <s v="TXN100388"/>
    <n v="20"/>
    <x v="9"/>
    <s v="2026-01-18 23:46:00"/>
    <x v="15"/>
    <n v="799"/>
    <s v="Card"/>
    <x v="0"/>
    <n v="53"/>
    <x v="9"/>
    <s v="ecommerce"/>
    <s v="East"/>
    <n v="15.98"/>
  </r>
  <r>
    <s v="TXN100389"/>
    <n v="19"/>
    <x v="22"/>
    <s v="2026-01-29 5:59:00"/>
    <x v="0"/>
    <n v="49"/>
    <s v="UPI"/>
    <x v="0"/>
    <n v="100"/>
    <x v="22"/>
    <s v="food_delivery"/>
    <s v="East"/>
    <n v="0"/>
  </r>
  <r>
    <s v="TXN100390"/>
    <n v="149"/>
    <x v="4"/>
    <s v="2026-01-16 5:59:00"/>
    <x v="24"/>
    <n v="4999"/>
    <s v="Wallet"/>
    <x v="0"/>
    <n v="1"/>
    <x v="4"/>
    <s v="grocery"/>
    <s v="East"/>
    <n v="74.985"/>
  </r>
  <r>
    <s v="TXN100391"/>
    <n v="55"/>
    <x v="3"/>
    <s v="2026-01-10 18:38:00"/>
    <x v="27"/>
    <n v="499"/>
    <s v="UPI"/>
    <x v="0"/>
    <n v="36"/>
    <x v="3"/>
    <s v="travel"/>
    <s v="South"/>
    <n v="0"/>
  </r>
  <r>
    <s v="TXN100392"/>
    <n v="269"/>
    <x v="33"/>
    <s v="2026-01-15 20:34:00"/>
    <x v="17"/>
    <n v="49"/>
    <s v="Card"/>
    <x v="0"/>
    <n v="17"/>
    <x v="33"/>
    <s v="food_delivery"/>
    <s v="West"/>
    <n v="0.98"/>
  </r>
  <r>
    <s v="TXN100393"/>
    <n v="140"/>
    <x v="6"/>
    <s v="2026-01-28 16:29:00"/>
    <x v="19"/>
    <n v="2999"/>
    <s v="UPI"/>
    <x v="0"/>
    <n v="14"/>
    <x v="6"/>
    <s v="travel"/>
    <s v="East"/>
    <n v="0"/>
  </r>
  <r>
    <s v="TXN100394"/>
    <n v="235"/>
    <x v="28"/>
    <s v="2026-01-11 5:46:00"/>
    <x v="7"/>
    <n v="2999"/>
    <s v="UPI"/>
    <x v="0"/>
    <n v="91"/>
    <x v="28"/>
    <s v="grocery"/>
    <s v="North"/>
    <n v="0"/>
  </r>
  <r>
    <s v="TXN100395"/>
    <n v="173"/>
    <x v="13"/>
    <s v="2026-01-06 0:47:00"/>
    <x v="4"/>
    <n v="499"/>
    <s v="UPI"/>
    <x v="1"/>
    <n v="72"/>
    <x v="13"/>
    <s v="grocery"/>
    <s v="North"/>
    <n v="0"/>
  </r>
  <r>
    <s v="TXN100396"/>
    <n v="313"/>
    <x v="22"/>
    <s v="2026-01-22 6:11:00"/>
    <x v="13"/>
    <n v="499"/>
    <s v="UPI"/>
    <x v="0"/>
    <n v="54"/>
    <x v="22"/>
    <s v="food_delivery"/>
    <s v="East"/>
    <n v="0"/>
  </r>
  <r>
    <s v="TXN100397"/>
    <n v="206"/>
    <x v="23"/>
    <s v="2026-01-17 10:05:00"/>
    <x v="18"/>
    <n v="149"/>
    <s v="Wallet"/>
    <x v="0"/>
    <n v="23"/>
    <x v="23"/>
    <s v="food_delivery"/>
    <s v="East"/>
    <n v="2.235"/>
  </r>
  <r>
    <s v="TXN100398"/>
    <n v="128"/>
    <x v="37"/>
    <s v="2026-01-05 15:20:00"/>
    <x v="14"/>
    <n v="1499"/>
    <s v="Netbanking"/>
    <x v="0"/>
    <n v="33"/>
    <x v="37"/>
    <s v="ecommerce"/>
    <s v="South"/>
    <n v="14.99"/>
  </r>
  <r>
    <s v="TXN100399"/>
    <n v="137"/>
    <x v="3"/>
    <s v="2026-01-13 7:28:00"/>
    <x v="11"/>
    <n v="799"/>
    <s v="UPI"/>
    <x v="1"/>
    <n v="38"/>
    <x v="3"/>
    <s v="travel"/>
    <s v="South"/>
    <n v="0"/>
  </r>
  <r>
    <s v="TXN100400"/>
    <n v="6"/>
    <x v="28"/>
    <s v="2026-01-19 23:36:00"/>
    <x v="23"/>
    <n v="49"/>
    <s v="UPI"/>
    <x v="0"/>
    <n v="83"/>
    <x v="28"/>
    <s v="grocery"/>
    <s v="North"/>
    <n v="0"/>
  </r>
  <r>
    <s v="TXN100401"/>
    <n v="32"/>
    <x v="30"/>
    <s v="2026-01-12 22:15:00"/>
    <x v="28"/>
    <n v="299"/>
    <s v="Card"/>
    <x v="0"/>
    <n v="59"/>
    <x v="30"/>
    <s v="food_delivery"/>
    <s v="North"/>
    <n v="5.98"/>
  </r>
  <r>
    <s v="TXN100402"/>
    <n v="258"/>
    <x v="15"/>
    <s v="2026-01-10 5:25:00"/>
    <x v="27"/>
    <n v="149"/>
    <s v="UPI"/>
    <x v="0"/>
    <n v="88"/>
    <x v="15"/>
    <s v="food_delivery"/>
    <s v="East"/>
    <n v="0"/>
  </r>
  <r>
    <s v="TXN100403"/>
    <n v="152"/>
    <x v="31"/>
    <s v="2026-01-04 20:58:00"/>
    <x v="1"/>
    <n v="149"/>
    <s v="UPI"/>
    <x v="2"/>
    <n v="78"/>
    <x v="31"/>
    <s v="grocery"/>
    <s v="North"/>
    <n v="0"/>
  </r>
  <r>
    <s v="TXN100404"/>
    <n v="245"/>
    <x v="34"/>
    <s v="2026-01-08 7:08:00"/>
    <x v="5"/>
    <n v="799"/>
    <s v="Wallet"/>
    <x v="0"/>
    <n v="58"/>
    <x v="34"/>
    <s v="grocery"/>
    <s v="West"/>
    <n v="11.985"/>
  </r>
  <r>
    <s v="TXN100405"/>
    <n v="213"/>
    <x v="25"/>
    <s v="2026-01-24 19:23:00"/>
    <x v="2"/>
    <n v="49"/>
    <s v="Wallet"/>
    <x v="0"/>
    <n v="60"/>
    <x v="25"/>
    <s v="entertainment"/>
    <s v="East"/>
    <n v="0.735"/>
  </r>
  <r>
    <s v="TXN100406"/>
    <n v="341"/>
    <x v="16"/>
    <s v="2026-01-25 17:51:00"/>
    <x v="21"/>
    <n v="99"/>
    <s v="Netbanking"/>
    <x v="0"/>
    <n v="97"/>
    <x v="16"/>
    <s v="grocery"/>
    <s v="East"/>
    <n v="0.99"/>
  </r>
  <r>
    <s v="TXN100407"/>
    <n v="306"/>
    <x v="18"/>
    <s v="2026-01-08 21:48:00"/>
    <x v="5"/>
    <n v="149"/>
    <s v="Netbanking"/>
    <x v="0"/>
    <n v="67"/>
    <x v="18"/>
    <s v="food_delivery"/>
    <s v="South"/>
    <n v="1.49"/>
  </r>
  <r>
    <s v="TXN100408"/>
    <n v="186"/>
    <x v="32"/>
    <s v="2026-01-15 16:45:00"/>
    <x v="17"/>
    <n v="499"/>
    <s v="UPI"/>
    <x v="0"/>
    <n v="72"/>
    <x v="32"/>
    <s v="recharge"/>
    <s v="South"/>
    <n v="0"/>
  </r>
  <r>
    <s v="TXN100409"/>
    <n v="281"/>
    <x v="11"/>
    <s v="2026-01-04 1:53:00"/>
    <x v="1"/>
    <n v="4999"/>
    <s v="UPI"/>
    <x v="0"/>
    <n v="25"/>
    <x v="11"/>
    <s v="bill_payment"/>
    <s v="East"/>
    <n v="0"/>
  </r>
  <r>
    <s v="TXN100410"/>
    <n v="85"/>
    <x v="17"/>
    <s v="2026-01-19 17:09:00"/>
    <x v="23"/>
    <n v="99"/>
    <s v="UPI"/>
    <x v="0"/>
    <n v="66"/>
    <x v="17"/>
    <s v="food_delivery"/>
    <s v="East"/>
    <n v="0"/>
  </r>
  <r>
    <s v="TXN100411"/>
    <n v="106"/>
    <x v="35"/>
    <s v="2026-01-15 3:43:00"/>
    <x v="17"/>
    <n v="499"/>
    <s v="UPI"/>
    <x v="0"/>
    <n v="62"/>
    <x v="35"/>
    <s v="grocery"/>
    <s v="East"/>
    <n v="0"/>
  </r>
  <r>
    <s v="TXN100412"/>
    <n v="29"/>
    <x v="24"/>
    <s v="2026-01-03 16:28:00"/>
    <x v="29"/>
    <n v="149"/>
    <s v="Netbanking"/>
    <x v="0"/>
    <n v="16"/>
    <x v="24"/>
    <s v="travel"/>
    <s v="West"/>
    <n v="1.49"/>
  </r>
  <r>
    <s v="TXN100413"/>
    <n v="289"/>
    <x v="29"/>
    <s v="2026-01-17 13:29:00"/>
    <x v="18"/>
    <n v="1499"/>
    <s v="Card"/>
    <x v="0"/>
    <n v="71"/>
    <x v="29"/>
    <s v="ecommerce"/>
    <s v="East"/>
    <n v="29.98"/>
  </r>
  <r>
    <s v="TXN100414"/>
    <n v="158"/>
    <x v="27"/>
    <s v="2026-01-15 21:51:00"/>
    <x v="17"/>
    <n v="1499"/>
    <s v="Card"/>
    <x v="0"/>
    <n v="50"/>
    <x v="27"/>
    <s v="grocery"/>
    <s v="West"/>
    <n v="29.98"/>
  </r>
  <r>
    <s v="TXN100415"/>
    <n v="112"/>
    <x v="35"/>
    <s v="2026-01-09 0:47:00"/>
    <x v="10"/>
    <n v="49"/>
    <s v="UPI"/>
    <x v="0"/>
    <n v="9"/>
    <x v="35"/>
    <s v="grocery"/>
    <s v="East"/>
    <n v="0"/>
  </r>
  <r>
    <s v="TXN100416"/>
    <n v="33"/>
    <x v="8"/>
    <s v="2026-01-02 13:22:00"/>
    <x v="22"/>
    <n v="299"/>
    <s v="Card"/>
    <x v="1"/>
    <n v="7"/>
    <x v="8"/>
    <s v="recharge"/>
    <s v="East"/>
    <n v="5.98"/>
  </r>
  <r>
    <s v="TXN100417"/>
    <n v="242"/>
    <x v="4"/>
    <s v="2026-01-30 2:59:00"/>
    <x v="3"/>
    <n v="49"/>
    <s v="UPI"/>
    <x v="0"/>
    <n v="36"/>
    <x v="4"/>
    <s v="grocery"/>
    <s v="East"/>
    <n v="0"/>
  </r>
  <r>
    <s v="TXN100418"/>
    <n v="70"/>
    <x v="1"/>
    <s v="2026-01-14 5:49:00"/>
    <x v="12"/>
    <n v="149"/>
    <s v="UPI"/>
    <x v="0"/>
    <n v="47"/>
    <x v="1"/>
    <s v="ecommerce"/>
    <s v="North"/>
    <n v="0"/>
  </r>
  <r>
    <s v="TXN100419"/>
    <n v="194"/>
    <x v="14"/>
    <s v="2026-01-29 12:28:00"/>
    <x v="0"/>
    <n v="49"/>
    <s v="Wallet"/>
    <x v="0"/>
    <n v="10"/>
    <x v="14"/>
    <s v="travel"/>
    <s v="South"/>
    <n v="0.735"/>
  </r>
  <r>
    <s v="TXN100420"/>
    <n v="277"/>
    <x v="39"/>
    <s v="2026-01-22 21:55:00"/>
    <x v="13"/>
    <n v="799"/>
    <s v="UPI"/>
    <x v="0"/>
    <n v="83"/>
    <x v="39"/>
    <s v="ecommerce"/>
    <s v="North"/>
    <n v="0"/>
  </r>
  <r>
    <s v="TXN100421"/>
    <n v="92"/>
    <x v="8"/>
    <s v="2026-01-28 11:07:00"/>
    <x v="19"/>
    <n v="49"/>
    <s v="UPI"/>
    <x v="0"/>
    <n v="50"/>
    <x v="8"/>
    <s v="recharge"/>
    <s v="East"/>
    <n v="0"/>
  </r>
  <r>
    <s v="TXN100422"/>
    <n v="115"/>
    <x v="37"/>
    <s v="2026-01-17 4:46:00"/>
    <x v="18"/>
    <n v="149"/>
    <s v="Wallet"/>
    <x v="0"/>
    <n v="96"/>
    <x v="37"/>
    <s v="ecommerce"/>
    <s v="South"/>
    <n v="2.235"/>
  </r>
  <r>
    <s v="TXN100423"/>
    <n v="345"/>
    <x v="8"/>
    <s v="2026-01-01 9:29:00"/>
    <x v="9"/>
    <n v="499"/>
    <s v="Card"/>
    <x v="0"/>
    <n v="54"/>
    <x v="8"/>
    <s v="recharge"/>
    <s v="East"/>
    <n v="9.98"/>
  </r>
  <r>
    <s v="TXN100424"/>
    <n v="118"/>
    <x v="0"/>
    <s v="2026-01-18 12:52:00"/>
    <x v="15"/>
    <n v="49"/>
    <s v="UPI"/>
    <x v="0"/>
    <n v="58"/>
    <x v="0"/>
    <s v="bill_payment"/>
    <s v="West"/>
    <n v="0"/>
  </r>
  <r>
    <s v="TXN100425"/>
    <n v="97"/>
    <x v="30"/>
    <s v="2026-01-12 4:17:00"/>
    <x v="28"/>
    <n v="99"/>
    <s v="Netbanking"/>
    <x v="0"/>
    <n v="4"/>
    <x v="30"/>
    <s v="food_delivery"/>
    <s v="North"/>
    <n v="0.99"/>
  </r>
  <r>
    <s v="TXN100426"/>
    <n v="315"/>
    <x v="27"/>
    <s v="2026-01-26 21:26:00"/>
    <x v="16"/>
    <n v="299"/>
    <s v="Wallet"/>
    <x v="0"/>
    <n v="30"/>
    <x v="27"/>
    <s v="grocery"/>
    <s v="West"/>
    <n v="4.484999999999999"/>
  </r>
  <r>
    <s v="TXN100427"/>
    <n v="305"/>
    <x v="4"/>
    <s v="2026-01-07 2:06:00"/>
    <x v="25"/>
    <n v="299"/>
    <s v="UPI"/>
    <x v="0"/>
    <n v="57"/>
    <x v="4"/>
    <s v="grocery"/>
    <s v="East"/>
    <n v="0"/>
  </r>
  <r>
    <s v="TXN100428"/>
    <n v="25"/>
    <x v="0"/>
    <s v="2026-01-20 21:45:00"/>
    <x v="26"/>
    <n v="299"/>
    <s v="UPI"/>
    <x v="0"/>
    <n v="94"/>
    <x v="0"/>
    <s v="bill_payment"/>
    <s v="West"/>
    <n v="0"/>
  </r>
  <r>
    <s v="TXN100429"/>
    <n v="120"/>
    <x v="8"/>
    <s v="2026-01-02 12:28:00"/>
    <x v="22"/>
    <n v="49"/>
    <s v="UPI"/>
    <x v="0"/>
    <n v="27"/>
    <x v="8"/>
    <s v="recharge"/>
    <s v="East"/>
    <n v="0"/>
  </r>
  <r>
    <s v="TXN100430"/>
    <n v="258"/>
    <x v="13"/>
    <s v="2026-01-25 1:08:00"/>
    <x v="21"/>
    <n v="49"/>
    <s v="Wallet"/>
    <x v="0"/>
    <n v="29"/>
    <x v="13"/>
    <s v="grocery"/>
    <s v="North"/>
    <n v="0.735"/>
  </r>
  <r>
    <s v="TXN100431"/>
    <n v="164"/>
    <x v="21"/>
    <s v="2026-01-27 23:36:00"/>
    <x v="6"/>
    <n v="799"/>
    <s v="UPI"/>
    <x v="0"/>
    <n v="76"/>
    <x v="21"/>
    <s v="entertainment"/>
    <s v="South"/>
    <n v="0"/>
  </r>
  <r>
    <s v="TXN100432"/>
    <n v="165"/>
    <x v="0"/>
    <s v="2026-01-25 21:52:00"/>
    <x v="21"/>
    <n v="49"/>
    <s v="Wallet"/>
    <x v="0"/>
    <n v="38"/>
    <x v="0"/>
    <s v="bill_payment"/>
    <s v="West"/>
    <n v="0.735"/>
  </r>
  <r>
    <s v="TXN100433"/>
    <n v="267"/>
    <x v="19"/>
    <s v="2026-01-29 4:42:00"/>
    <x v="0"/>
    <n v="49"/>
    <s v="Netbanking"/>
    <x v="0"/>
    <n v="52"/>
    <x v="19"/>
    <s v="travel"/>
    <s v="North"/>
    <n v="0.49"/>
  </r>
  <r>
    <s v="TXN100434"/>
    <n v="286"/>
    <x v="35"/>
    <s v="2026-01-10 8:03:00"/>
    <x v="27"/>
    <n v="299"/>
    <s v="Wallet"/>
    <x v="0"/>
    <n v="94"/>
    <x v="35"/>
    <s v="grocery"/>
    <s v="East"/>
    <n v="4.484999999999999"/>
  </r>
  <r>
    <s v="TXN100435"/>
    <n v="348"/>
    <x v="10"/>
    <s v="2026-01-30 5:40:00"/>
    <x v="3"/>
    <n v="499"/>
    <s v="Card"/>
    <x v="0"/>
    <n v="71"/>
    <x v="10"/>
    <s v="ecommerce"/>
    <s v="South"/>
    <n v="9.98"/>
  </r>
  <r>
    <s v="TXN100436"/>
    <n v="330"/>
    <x v="14"/>
    <s v="2026-01-16 1:22:00"/>
    <x v="24"/>
    <n v="799"/>
    <s v="UPI"/>
    <x v="0"/>
    <n v="100"/>
    <x v="14"/>
    <s v="travel"/>
    <s v="South"/>
    <n v="0"/>
  </r>
  <r>
    <s v="TXN100437"/>
    <n v="214"/>
    <x v="1"/>
    <s v="2026-01-17 10:44:00"/>
    <x v="18"/>
    <n v="299"/>
    <s v="Card"/>
    <x v="0"/>
    <n v="19"/>
    <x v="1"/>
    <s v="ecommerce"/>
    <s v="North"/>
    <n v="5.98"/>
  </r>
  <r>
    <s v="TXN100438"/>
    <n v="276"/>
    <x v="20"/>
    <s v="2026-01-10 12:11:00"/>
    <x v="27"/>
    <n v="499"/>
    <s v="UPI"/>
    <x v="0"/>
    <n v="30"/>
    <x v="20"/>
    <s v="bill_payment"/>
    <s v="East"/>
    <n v="0"/>
  </r>
  <r>
    <s v="TXN100439"/>
    <n v="74"/>
    <x v="24"/>
    <s v="2026-01-28 7:19:00"/>
    <x v="19"/>
    <n v="49"/>
    <s v="UPI"/>
    <x v="0"/>
    <n v="7"/>
    <x v="24"/>
    <s v="travel"/>
    <s v="West"/>
    <n v="0"/>
  </r>
  <r>
    <s v="TXN100440"/>
    <n v="286"/>
    <x v="36"/>
    <s v="2026-01-18 13:26:00"/>
    <x v="15"/>
    <n v="49"/>
    <s v="Card"/>
    <x v="0"/>
    <n v="17"/>
    <x v="36"/>
    <s v="travel"/>
    <s v="South"/>
    <n v="0.98"/>
  </r>
  <r>
    <s v="TXN100441"/>
    <n v="105"/>
    <x v="3"/>
    <s v="2026-01-13 7:16:00"/>
    <x v="11"/>
    <n v="4999"/>
    <s v="UPI"/>
    <x v="0"/>
    <n v="82"/>
    <x v="3"/>
    <s v="travel"/>
    <s v="South"/>
    <n v="0"/>
  </r>
  <r>
    <s v="TXN100442"/>
    <n v="190"/>
    <x v="18"/>
    <s v="2026-01-03 14:54:00"/>
    <x v="29"/>
    <n v="799"/>
    <s v="Wallet"/>
    <x v="0"/>
    <n v="68"/>
    <x v="18"/>
    <s v="food_delivery"/>
    <s v="South"/>
    <n v="11.985"/>
  </r>
  <r>
    <s v="TXN100443"/>
    <n v="138"/>
    <x v="14"/>
    <s v="2026-01-24 6:03:00"/>
    <x v="2"/>
    <n v="299"/>
    <s v="Wallet"/>
    <x v="0"/>
    <n v="86"/>
    <x v="14"/>
    <s v="travel"/>
    <s v="South"/>
    <n v="4.484999999999999"/>
  </r>
  <r>
    <s v="TXN100444"/>
    <n v="38"/>
    <x v="6"/>
    <s v="2026-01-20 19:02:00"/>
    <x v="26"/>
    <n v="4999"/>
    <s v="Netbanking"/>
    <x v="0"/>
    <n v="97"/>
    <x v="6"/>
    <s v="travel"/>
    <s v="East"/>
    <n v="49.99"/>
  </r>
  <r>
    <s v="TXN100445"/>
    <n v="287"/>
    <x v="16"/>
    <s v="2026-01-19 23:42:00"/>
    <x v="23"/>
    <n v="99"/>
    <s v="Wallet"/>
    <x v="0"/>
    <n v="61"/>
    <x v="16"/>
    <s v="grocery"/>
    <s v="East"/>
    <n v="1.4849999999999999"/>
  </r>
  <r>
    <s v="TXN100446"/>
    <n v="8"/>
    <x v="16"/>
    <s v="2026-01-07 10:19:00"/>
    <x v="25"/>
    <n v="49"/>
    <s v="UPI"/>
    <x v="0"/>
    <n v="24"/>
    <x v="16"/>
    <s v="grocery"/>
    <s v="East"/>
    <n v="0"/>
  </r>
  <r>
    <s v="TXN100447"/>
    <n v="246"/>
    <x v="0"/>
    <s v="2026-01-24 3:47:00"/>
    <x v="2"/>
    <n v="1499"/>
    <s v="Wallet"/>
    <x v="0"/>
    <n v="89"/>
    <x v="0"/>
    <s v="bill_payment"/>
    <s v="West"/>
    <n v="22.485"/>
  </r>
  <r>
    <s v="TXN100448"/>
    <n v="204"/>
    <x v="0"/>
    <s v="2026-01-20 22:13:00"/>
    <x v="26"/>
    <n v="149"/>
    <s v="UPI"/>
    <x v="0"/>
    <n v="70"/>
    <x v="0"/>
    <s v="bill_payment"/>
    <s v="West"/>
    <n v="0"/>
  </r>
  <r>
    <s v="TXN100449"/>
    <n v="239"/>
    <x v="8"/>
    <s v="2026-01-11 9:24:00"/>
    <x v="7"/>
    <n v="4999"/>
    <s v="UPI"/>
    <x v="0"/>
    <n v="83"/>
    <x v="8"/>
    <s v="recharge"/>
    <s v="East"/>
    <n v="0"/>
  </r>
  <r>
    <s v="TXN100450"/>
    <n v="185"/>
    <x v="11"/>
    <s v="2026-01-12 9:16:00"/>
    <x v="28"/>
    <n v="299"/>
    <s v="UPI"/>
    <x v="0"/>
    <n v="63"/>
    <x v="11"/>
    <s v="bill_payment"/>
    <s v="East"/>
    <n v="0"/>
  </r>
  <r>
    <s v="TXN100451"/>
    <n v="241"/>
    <x v="17"/>
    <s v="2026-01-15 3:51:00"/>
    <x v="17"/>
    <n v="299"/>
    <s v="Card"/>
    <x v="0"/>
    <n v="26"/>
    <x v="17"/>
    <s v="food_delivery"/>
    <s v="East"/>
    <n v="5.98"/>
  </r>
  <r>
    <s v="TXN100452"/>
    <n v="24"/>
    <x v="21"/>
    <s v="2026-01-12 10:26:00"/>
    <x v="28"/>
    <n v="149"/>
    <s v="UPI"/>
    <x v="0"/>
    <n v="28"/>
    <x v="21"/>
    <s v="entertainment"/>
    <s v="South"/>
    <n v="0"/>
  </r>
  <r>
    <s v="TXN100453"/>
    <n v="134"/>
    <x v="25"/>
    <s v="2026-01-24 4:01:00"/>
    <x v="2"/>
    <n v="1499"/>
    <s v="UPI"/>
    <x v="0"/>
    <n v="74"/>
    <x v="25"/>
    <s v="entertainment"/>
    <s v="East"/>
    <n v="0"/>
  </r>
  <r>
    <s v="TXN100454"/>
    <n v="152"/>
    <x v="34"/>
    <s v="2026-01-19 23:26:00"/>
    <x v="23"/>
    <n v="499"/>
    <s v="Wallet"/>
    <x v="0"/>
    <n v="25"/>
    <x v="34"/>
    <s v="grocery"/>
    <s v="West"/>
    <n v="7.484999999999999"/>
  </r>
  <r>
    <s v="TXN100455"/>
    <n v="292"/>
    <x v="0"/>
    <s v="2026-01-11 7:24:00"/>
    <x v="7"/>
    <n v="499"/>
    <s v="Netbanking"/>
    <x v="0"/>
    <n v="63"/>
    <x v="0"/>
    <s v="bill_payment"/>
    <s v="West"/>
    <n v="4.99"/>
  </r>
  <r>
    <s v="TXN100456"/>
    <n v="173"/>
    <x v="28"/>
    <s v="2026-01-18 20:43:00"/>
    <x v="15"/>
    <n v="99"/>
    <s v="Netbanking"/>
    <x v="0"/>
    <n v="97"/>
    <x v="28"/>
    <s v="grocery"/>
    <s v="North"/>
    <n v="0.99"/>
  </r>
  <r>
    <s v="TXN100457"/>
    <n v="329"/>
    <x v="33"/>
    <s v="2026-01-27 15:46:00"/>
    <x v="6"/>
    <n v="1499"/>
    <s v="UPI"/>
    <x v="0"/>
    <n v="58"/>
    <x v="33"/>
    <s v="food_delivery"/>
    <s v="West"/>
    <n v="0"/>
  </r>
  <r>
    <s v="TXN100458"/>
    <n v="181"/>
    <x v="2"/>
    <s v="2026-01-06 23:50:00"/>
    <x v="4"/>
    <n v="1499"/>
    <s v="UPI"/>
    <x v="0"/>
    <n v="17"/>
    <x v="2"/>
    <s v="ecommerce"/>
    <s v="North"/>
    <n v="0"/>
  </r>
  <r>
    <s v="TXN100459"/>
    <n v="95"/>
    <x v="8"/>
    <s v="2026-01-24 17:31:00"/>
    <x v="2"/>
    <n v="149"/>
    <s v="Wallet"/>
    <x v="0"/>
    <n v="82"/>
    <x v="8"/>
    <s v="recharge"/>
    <s v="East"/>
    <n v="2.235"/>
  </r>
  <r>
    <s v="TXN100460"/>
    <n v="39"/>
    <x v="29"/>
    <s v="2026-01-02 16:02:00"/>
    <x v="22"/>
    <n v="149"/>
    <s v="Netbanking"/>
    <x v="0"/>
    <n v="97"/>
    <x v="29"/>
    <s v="ecommerce"/>
    <s v="East"/>
    <n v="1.49"/>
  </r>
  <r>
    <s v="TXN100461"/>
    <n v="323"/>
    <x v="19"/>
    <s v="2026-01-01 13:08:00"/>
    <x v="9"/>
    <n v="499"/>
    <s v="UPI"/>
    <x v="0"/>
    <n v="8"/>
    <x v="19"/>
    <s v="travel"/>
    <s v="North"/>
    <n v="0"/>
  </r>
  <r>
    <s v="TXN100462"/>
    <n v="112"/>
    <x v="11"/>
    <s v="2026-01-23 4:00:00"/>
    <x v="20"/>
    <n v="49"/>
    <s v="Netbanking"/>
    <x v="0"/>
    <n v="58"/>
    <x v="11"/>
    <s v="bill_payment"/>
    <s v="East"/>
    <n v="0.49"/>
  </r>
  <r>
    <s v="TXN100463"/>
    <n v="327"/>
    <x v="12"/>
    <s v="2026-01-12 1:39:00"/>
    <x v="28"/>
    <n v="99"/>
    <s v="UPI"/>
    <x v="0"/>
    <n v="61"/>
    <x v="12"/>
    <s v="entertainment"/>
    <s v="South"/>
    <n v="0"/>
  </r>
  <r>
    <s v="TXN100464"/>
    <n v="4"/>
    <x v="8"/>
    <s v="2026-01-22 15:01:00"/>
    <x v="13"/>
    <n v="299"/>
    <s v="UPI"/>
    <x v="0"/>
    <n v="70"/>
    <x v="8"/>
    <s v="recharge"/>
    <s v="East"/>
    <n v="0"/>
  </r>
  <r>
    <s v="TXN100465"/>
    <n v="272"/>
    <x v="7"/>
    <s v="2026-01-14 0:01:00"/>
    <x v="12"/>
    <n v="149"/>
    <s v="UPI"/>
    <x v="0"/>
    <n v="68"/>
    <x v="7"/>
    <s v="grocery"/>
    <s v="West"/>
    <n v="0"/>
  </r>
  <r>
    <s v="TXN100466"/>
    <n v="346"/>
    <x v="10"/>
    <s v="2026-01-10 0:32:00"/>
    <x v="27"/>
    <n v="499"/>
    <s v="UPI"/>
    <x v="0"/>
    <n v="22"/>
    <x v="10"/>
    <s v="ecommerce"/>
    <s v="South"/>
    <n v="0"/>
  </r>
  <r>
    <s v="TXN100467"/>
    <n v="77"/>
    <x v="0"/>
    <s v="2026-01-04 3:33:00"/>
    <x v="1"/>
    <n v="49"/>
    <s v="Wallet"/>
    <x v="0"/>
    <n v="24"/>
    <x v="0"/>
    <s v="bill_payment"/>
    <s v="West"/>
    <n v="0.735"/>
  </r>
  <r>
    <s v="TXN100468"/>
    <n v="182"/>
    <x v="7"/>
    <s v="2026-01-20 16:16:00"/>
    <x v="26"/>
    <n v="149"/>
    <s v="Card"/>
    <x v="0"/>
    <n v="50"/>
    <x v="7"/>
    <s v="grocery"/>
    <s v="West"/>
    <n v="2.98"/>
  </r>
  <r>
    <s v="TXN100469"/>
    <n v="236"/>
    <x v="21"/>
    <s v="2026-01-03 11:25:00"/>
    <x v="29"/>
    <n v="299"/>
    <s v="Card"/>
    <x v="0"/>
    <n v="31"/>
    <x v="21"/>
    <s v="entertainment"/>
    <s v="South"/>
    <n v="5.98"/>
  </r>
  <r>
    <s v="TXN100470"/>
    <n v="42"/>
    <x v="4"/>
    <s v="2026-01-23 7:19:00"/>
    <x v="20"/>
    <n v="49"/>
    <s v="UPI"/>
    <x v="0"/>
    <n v="11"/>
    <x v="4"/>
    <s v="grocery"/>
    <s v="East"/>
    <n v="0"/>
  </r>
  <r>
    <s v="TXN100471"/>
    <n v="283"/>
    <x v="20"/>
    <s v="2026-01-13 12:24:00"/>
    <x v="11"/>
    <n v="299"/>
    <s v="Netbanking"/>
    <x v="0"/>
    <n v="7"/>
    <x v="20"/>
    <s v="bill_payment"/>
    <s v="East"/>
    <n v="2.99"/>
  </r>
  <r>
    <s v="TXN100472"/>
    <n v="88"/>
    <x v="18"/>
    <s v="2026-01-21 0:44:00"/>
    <x v="8"/>
    <n v="49"/>
    <s v="UPI"/>
    <x v="0"/>
    <n v="63"/>
    <x v="18"/>
    <s v="food_delivery"/>
    <s v="South"/>
    <n v="0"/>
  </r>
  <r>
    <s v="TXN100473"/>
    <n v="170"/>
    <x v="21"/>
    <s v="2026-01-28 13:41:00"/>
    <x v="19"/>
    <n v="99"/>
    <s v="UPI"/>
    <x v="1"/>
    <n v="12"/>
    <x v="21"/>
    <s v="entertainment"/>
    <s v="South"/>
    <n v="0"/>
  </r>
  <r>
    <s v="TXN100474"/>
    <n v="22"/>
    <x v="19"/>
    <s v="2026-01-29 16:58:00"/>
    <x v="0"/>
    <n v="49"/>
    <s v="Netbanking"/>
    <x v="0"/>
    <n v="27"/>
    <x v="19"/>
    <s v="travel"/>
    <s v="North"/>
    <n v="0.49"/>
  </r>
  <r>
    <s v="TXN100475"/>
    <n v="291"/>
    <x v="20"/>
    <s v="2026-01-29 22:56:00"/>
    <x v="0"/>
    <n v="49"/>
    <s v="Netbanking"/>
    <x v="1"/>
    <n v="34"/>
    <x v="20"/>
    <s v="bill_payment"/>
    <s v="East"/>
    <n v="0.49"/>
  </r>
  <r>
    <s v="TXN100476"/>
    <n v="144"/>
    <x v="8"/>
    <s v="2026-01-02 2:43:00"/>
    <x v="22"/>
    <n v="1499"/>
    <s v="UPI"/>
    <x v="0"/>
    <n v="72"/>
    <x v="8"/>
    <s v="recharge"/>
    <s v="East"/>
    <n v="0"/>
  </r>
  <r>
    <s v="TXN100477"/>
    <n v="162"/>
    <x v="27"/>
    <s v="2026-01-22 1:11:00"/>
    <x v="13"/>
    <n v="299"/>
    <s v="Wallet"/>
    <x v="0"/>
    <n v="26"/>
    <x v="27"/>
    <s v="grocery"/>
    <s v="West"/>
    <n v="4.484999999999999"/>
  </r>
  <r>
    <s v="TXN100478"/>
    <n v="204"/>
    <x v="32"/>
    <s v="2026-01-19 4:48:00"/>
    <x v="23"/>
    <n v="49"/>
    <s v="UPI"/>
    <x v="0"/>
    <n v="38"/>
    <x v="32"/>
    <s v="recharge"/>
    <s v="South"/>
    <n v="0"/>
  </r>
  <r>
    <s v="TXN100479"/>
    <n v="291"/>
    <x v="14"/>
    <s v="2026-01-06 18:15:00"/>
    <x v="4"/>
    <n v="99"/>
    <s v="Wallet"/>
    <x v="0"/>
    <n v="86"/>
    <x v="14"/>
    <s v="travel"/>
    <s v="South"/>
    <n v="1.4849999999999999"/>
  </r>
  <r>
    <s v="TXN100480"/>
    <n v="197"/>
    <x v="39"/>
    <s v="2026-01-29 17:21:00"/>
    <x v="0"/>
    <n v="49"/>
    <s v="Wallet"/>
    <x v="1"/>
    <n v="88"/>
    <x v="39"/>
    <s v="ecommerce"/>
    <s v="North"/>
    <n v="0.735"/>
  </r>
  <r>
    <s v="TXN100481"/>
    <n v="178"/>
    <x v="29"/>
    <s v="2026-01-24 2:32:00"/>
    <x v="2"/>
    <n v="1499"/>
    <s v="UPI"/>
    <x v="0"/>
    <n v="12"/>
    <x v="29"/>
    <s v="ecommerce"/>
    <s v="East"/>
    <n v="0"/>
  </r>
  <r>
    <s v="TXN100482"/>
    <n v="39"/>
    <x v="3"/>
    <s v="2026-01-14 7:53:00"/>
    <x v="12"/>
    <n v="799"/>
    <s v="Netbanking"/>
    <x v="0"/>
    <n v="77"/>
    <x v="3"/>
    <s v="travel"/>
    <s v="South"/>
    <n v="7.99"/>
  </r>
  <r>
    <s v="TXN100483"/>
    <n v="204"/>
    <x v="17"/>
    <s v="2026-01-25 19:38:00"/>
    <x v="21"/>
    <n v="299"/>
    <s v="Wallet"/>
    <x v="0"/>
    <n v="3"/>
    <x v="17"/>
    <s v="food_delivery"/>
    <s v="East"/>
    <n v="4.484999999999999"/>
  </r>
  <r>
    <s v="TXN100484"/>
    <n v="231"/>
    <x v="33"/>
    <s v="2026-01-21 8:50:00"/>
    <x v="8"/>
    <n v="299"/>
    <s v="UPI"/>
    <x v="0"/>
    <n v="29"/>
    <x v="33"/>
    <s v="food_delivery"/>
    <s v="West"/>
    <n v="0"/>
  </r>
  <r>
    <s v="TXN100485"/>
    <n v="222"/>
    <x v="9"/>
    <s v="2026-01-12 17:24:00"/>
    <x v="28"/>
    <n v="499"/>
    <s v="Wallet"/>
    <x v="1"/>
    <n v="87"/>
    <x v="9"/>
    <s v="ecommerce"/>
    <s v="East"/>
    <n v="7.484999999999999"/>
  </r>
  <r>
    <s v="TXN100486"/>
    <n v="44"/>
    <x v="12"/>
    <s v="2026-01-19 21:24:00"/>
    <x v="23"/>
    <n v="499"/>
    <s v="UPI"/>
    <x v="0"/>
    <n v="37"/>
    <x v="12"/>
    <s v="entertainment"/>
    <s v="South"/>
    <n v="0"/>
  </r>
  <r>
    <s v="TXN100487"/>
    <n v="38"/>
    <x v="18"/>
    <s v="2026-01-26 7:45:00"/>
    <x v="16"/>
    <n v="49"/>
    <s v="Wallet"/>
    <x v="0"/>
    <n v="34"/>
    <x v="18"/>
    <s v="food_delivery"/>
    <s v="South"/>
    <n v="0.735"/>
  </r>
  <r>
    <s v="TXN100488"/>
    <n v="325"/>
    <x v="34"/>
    <s v="2026-01-05 12:45:00"/>
    <x v="14"/>
    <n v="49"/>
    <s v="Netbanking"/>
    <x v="2"/>
    <n v="94"/>
    <x v="34"/>
    <s v="grocery"/>
    <s v="West"/>
    <n v="0.49"/>
  </r>
  <r>
    <s v="TXN100489"/>
    <n v="55"/>
    <x v="18"/>
    <s v="2026-01-13 10:23:00"/>
    <x v="11"/>
    <n v="1499"/>
    <s v="Card"/>
    <x v="0"/>
    <n v="0"/>
    <x v="18"/>
    <s v="food_delivery"/>
    <s v="South"/>
    <n v="29.98"/>
  </r>
  <r>
    <s v="TXN100490"/>
    <n v="139"/>
    <x v="23"/>
    <s v="2026-01-10 14:23:00"/>
    <x v="27"/>
    <n v="499"/>
    <s v="Card"/>
    <x v="0"/>
    <n v="16"/>
    <x v="23"/>
    <s v="food_delivery"/>
    <s v="East"/>
    <n v="9.98"/>
  </r>
  <r>
    <s v="TXN100491"/>
    <n v="230"/>
    <x v="25"/>
    <s v="2026-01-03 5:27:00"/>
    <x v="29"/>
    <n v="99"/>
    <s v="Wallet"/>
    <x v="0"/>
    <n v="71"/>
    <x v="25"/>
    <s v="entertainment"/>
    <s v="East"/>
    <n v="1.4849999999999999"/>
  </r>
  <r>
    <s v="TXN100492"/>
    <n v="14"/>
    <x v="18"/>
    <s v="2026-01-17 13:06:00"/>
    <x v="18"/>
    <n v="799"/>
    <s v="Card"/>
    <x v="0"/>
    <n v="45"/>
    <x v="18"/>
    <s v="food_delivery"/>
    <s v="South"/>
    <n v="15.98"/>
  </r>
  <r>
    <s v="TXN100493"/>
    <n v="307"/>
    <x v="17"/>
    <s v="2026-01-18 2:38:00"/>
    <x v="15"/>
    <n v="799"/>
    <s v="UPI"/>
    <x v="0"/>
    <n v="49"/>
    <x v="17"/>
    <s v="food_delivery"/>
    <s v="East"/>
    <n v="0"/>
  </r>
  <r>
    <s v="TXN100494"/>
    <n v="199"/>
    <x v="18"/>
    <s v="2026-01-01 9:26:00"/>
    <x v="9"/>
    <n v="49"/>
    <s v="UPI"/>
    <x v="0"/>
    <n v="92"/>
    <x v="18"/>
    <s v="food_delivery"/>
    <s v="South"/>
    <n v="0"/>
  </r>
  <r>
    <s v="TXN100495"/>
    <n v="125"/>
    <x v="21"/>
    <s v="2026-01-29 17:57:00"/>
    <x v="0"/>
    <n v="149"/>
    <s v="Wallet"/>
    <x v="0"/>
    <n v="66"/>
    <x v="21"/>
    <s v="entertainment"/>
    <s v="South"/>
    <n v="2.235"/>
  </r>
  <r>
    <s v="TXN100496"/>
    <n v="87"/>
    <x v="39"/>
    <s v="2026-01-06 21:24:00"/>
    <x v="4"/>
    <n v="149"/>
    <s v="UPI"/>
    <x v="0"/>
    <n v="34"/>
    <x v="39"/>
    <s v="ecommerce"/>
    <s v="North"/>
    <n v="0"/>
  </r>
  <r>
    <s v="TXN100497"/>
    <n v="75"/>
    <x v="32"/>
    <s v="2026-01-10 8:31:00"/>
    <x v="27"/>
    <n v="99"/>
    <s v="UPI"/>
    <x v="0"/>
    <n v="21"/>
    <x v="32"/>
    <s v="recharge"/>
    <s v="South"/>
    <n v="0"/>
  </r>
  <r>
    <s v="TXN100498"/>
    <n v="154"/>
    <x v="20"/>
    <s v="2026-01-14 8:26:00"/>
    <x v="12"/>
    <n v="499"/>
    <s v="Wallet"/>
    <x v="0"/>
    <n v="100"/>
    <x v="20"/>
    <s v="bill_payment"/>
    <s v="East"/>
    <n v="7.484999999999999"/>
  </r>
  <r>
    <s v="TXN100499"/>
    <n v="127"/>
    <x v="33"/>
    <s v="2026-01-03 11:16:00"/>
    <x v="29"/>
    <n v="149"/>
    <s v="Card"/>
    <x v="0"/>
    <n v="76"/>
    <x v="33"/>
    <s v="food_delivery"/>
    <s v="West"/>
    <n v="2.98"/>
  </r>
  <r>
    <s v="TXN200000"/>
    <n v="351"/>
    <x v="23"/>
    <s v="2026-01-30 6:00:00"/>
    <x v="3"/>
    <n v="1999"/>
    <s v="Card"/>
    <x v="2"/>
    <n v="79"/>
    <x v="23"/>
    <s v="food_delivery"/>
    <s v="East"/>
    <n v="39.980000000000004"/>
  </r>
  <r>
    <s v="TXN200001"/>
    <n v="352"/>
    <x v="12"/>
    <s v="2026-01-11 12:00:00"/>
    <x v="7"/>
    <n v="4999"/>
    <s v="Card"/>
    <x v="2"/>
    <n v="95"/>
    <x v="12"/>
    <s v="entertainment"/>
    <s v="South"/>
    <n v="99.98"/>
  </r>
  <r>
    <s v="TXN200002"/>
    <n v="353"/>
    <x v="10"/>
    <s v="2026-01-21 14:00:00"/>
    <x v="8"/>
    <n v="1999"/>
    <s v="Card"/>
    <x v="2"/>
    <n v="79"/>
    <x v="10"/>
    <s v="ecommerce"/>
    <s v="South"/>
    <n v="39.980000000000004"/>
  </r>
  <r>
    <s v="TXN200003"/>
    <n v="354"/>
    <x v="6"/>
    <s v="2026-01-21 19:00:00"/>
    <x v="8"/>
    <n v="4999"/>
    <s v="Card"/>
    <x v="2"/>
    <n v="80"/>
    <x v="6"/>
    <s v="travel"/>
    <s v="East"/>
    <n v="99.98"/>
  </r>
  <r>
    <s v="TXN200004"/>
    <n v="355"/>
    <x v="13"/>
    <s v="2026-01-16 12:00:00"/>
    <x v="24"/>
    <n v="4999"/>
    <s v="Card"/>
    <x v="2"/>
    <n v="100"/>
    <x v="13"/>
    <s v="grocery"/>
    <s v="North"/>
    <n v="99.98"/>
  </r>
  <r>
    <s v="TXN200005"/>
    <n v="356"/>
    <x v="14"/>
    <s v="2026-01-29 7:00:00"/>
    <x v="0"/>
    <n v="2999"/>
    <s v="Card"/>
    <x v="2"/>
    <n v="96"/>
    <x v="14"/>
    <s v="travel"/>
    <s v="South"/>
    <n v="59.980000000000004"/>
  </r>
  <r>
    <s v="TXN200006"/>
    <n v="357"/>
    <x v="21"/>
    <s v="2026-01-23 11:00:00"/>
    <x v="20"/>
    <n v="1999"/>
    <s v="Card"/>
    <x v="2"/>
    <n v="88"/>
    <x v="21"/>
    <s v="entertainment"/>
    <s v="South"/>
    <n v="39.980000000000004"/>
  </r>
  <r>
    <s v="TXN200007"/>
    <n v="358"/>
    <x v="25"/>
    <s v="2026-01-28 5:00:00"/>
    <x v="19"/>
    <n v="999"/>
    <s v="Card"/>
    <x v="2"/>
    <n v="100"/>
    <x v="25"/>
    <s v="entertainment"/>
    <s v="East"/>
    <n v="19.98"/>
  </r>
  <r>
    <s v="TXN200008"/>
    <n v="359"/>
    <x v="26"/>
    <s v="2026-01-25 22:00:00"/>
    <x v="21"/>
    <n v="2999"/>
    <s v="Card"/>
    <x v="2"/>
    <n v="96"/>
    <x v="26"/>
    <s v="ecommerce"/>
    <s v="North"/>
    <n v="59.980000000000004"/>
  </r>
  <r>
    <s v="TXN200009"/>
    <n v="360"/>
    <x v="33"/>
    <s v="2026-01-13 13:00:00"/>
    <x v="11"/>
    <n v="1999"/>
    <s v="Card"/>
    <x v="2"/>
    <n v="90"/>
    <x v="33"/>
    <s v="food_delivery"/>
    <s v="West"/>
    <n v="39.980000000000004"/>
  </r>
  <r>
    <s v="TXN200010"/>
    <n v="361"/>
    <x v="34"/>
    <s v="2026-01-20 7:00:00"/>
    <x v="26"/>
    <n v="4999"/>
    <s v="Card"/>
    <x v="2"/>
    <n v="95"/>
    <x v="34"/>
    <s v="grocery"/>
    <s v="West"/>
    <n v="99.98"/>
  </r>
  <r>
    <s v="TXN200011"/>
    <n v="362"/>
    <x v="38"/>
    <s v="2026-01-23 2:00:00"/>
    <x v="20"/>
    <n v="4999"/>
    <s v="Card"/>
    <x v="2"/>
    <n v="88"/>
    <x v="38"/>
    <s v="entertainment"/>
    <s v="North"/>
    <n v="99.98"/>
  </r>
  <r>
    <s v="TXN200012"/>
    <n v="363"/>
    <x v="1"/>
    <s v="2026-01-23 17:00:00"/>
    <x v="20"/>
    <n v="999"/>
    <s v="Card"/>
    <x v="2"/>
    <n v="95"/>
    <x v="1"/>
    <s v="ecommerce"/>
    <s v="North"/>
    <n v="19.98"/>
  </r>
  <r>
    <s v="TXN200013"/>
    <n v="364"/>
    <x v="38"/>
    <s v="2026-01-22 22:00:00"/>
    <x v="13"/>
    <n v="999"/>
    <s v="Card"/>
    <x v="2"/>
    <n v="73"/>
    <x v="38"/>
    <s v="entertainment"/>
    <s v="North"/>
    <n v="19.98"/>
  </r>
  <r>
    <s v="TXN200014"/>
    <n v="365"/>
    <x v="5"/>
    <s v="2026-01-18 21:00:00"/>
    <x v="15"/>
    <n v="1999"/>
    <s v="Card"/>
    <x v="2"/>
    <n v="90"/>
    <x v="5"/>
    <s v="travel"/>
    <s v="North"/>
    <n v="39.980000000000004"/>
  </r>
  <r>
    <s v="TXN300000"/>
    <n v="314"/>
    <x v="22"/>
    <s v="2026-01-02 18:00:00"/>
    <x v="22"/>
    <n v="399"/>
    <s v="Card"/>
    <x v="1"/>
    <n v="87"/>
    <x v="22"/>
    <s v="food_delivery"/>
    <s v="East"/>
    <n v="7.98"/>
  </r>
  <r>
    <s v="TXN300001"/>
    <n v="314"/>
    <x v="23"/>
    <s v="2026-01-02 18:01:00"/>
    <x v="22"/>
    <n v="299"/>
    <s v="Card"/>
    <x v="1"/>
    <n v="66"/>
    <x v="23"/>
    <s v="food_delivery"/>
    <s v="East"/>
    <n v="5.98"/>
  </r>
  <r>
    <s v="TXN300002"/>
    <n v="314"/>
    <x v="28"/>
    <s v="2026-01-02 18:02:00"/>
    <x v="22"/>
    <n v="299"/>
    <s v="Card"/>
    <x v="1"/>
    <n v="92"/>
    <x v="28"/>
    <s v="grocery"/>
    <s v="North"/>
    <n v="5.98"/>
  </r>
  <r>
    <s v="TXN300003"/>
    <n v="314"/>
    <x v="36"/>
    <s v="2026-01-02 18:03:00"/>
    <x v="22"/>
    <n v="499"/>
    <s v="Card"/>
    <x v="0"/>
    <n v="74"/>
    <x v="36"/>
    <s v="travel"/>
    <s v="South"/>
    <n v="9.98"/>
  </r>
  <r>
    <s v="TXN300004"/>
    <n v="229"/>
    <x v="24"/>
    <s v="2026-01-12 12:00:00"/>
    <x v="28"/>
    <n v="499"/>
    <s v="Card"/>
    <x v="1"/>
    <n v="92"/>
    <x v="24"/>
    <s v="travel"/>
    <s v="West"/>
    <n v="9.98"/>
  </r>
  <r>
    <s v="TXN300005"/>
    <n v="229"/>
    <x v="34"/>
    <s v="2026-01-12 12:01:00"/>
    <x v="28"/>
    <n v="399"/>
    <s v="Card"/>
    <x v="1"/>
    <n v="61"/>
    <x v="34"/>
    <s v="grocery"/>
    <s v="West"/>
    <n v="7.98"/>
  </r>
  <r>
    <s v="TXN300006"/>
    <n v="229"/>
    <x v="20"/>
    <s v="2026-01-12 12:02:00"/>
    <x v="28"/>
    <n v="299"/>
    <s v="Card"/>
    <x v="1"/>
    <n v="78"/>
    <x v="20"/>
    <s v="bill_payment"/>
    <s v="East"/>
    <n v="5.98"/>
  </r>
  <r>
    <s v="TXN300007"/>
    <n v="229"/>
    <x v="1"/>
    <s v="2026-01-12 12:03:00"/>
    <x v="28"/>
    <n v="299"/>
    <s v="Card"/>
    <x v="0"/>
    <n v="67"/>
    <x v="1"/>
    <s v="ecommerce"/>
    <s v="North"/>
    <n v="5.98"/>
  </r>
  <r>
    <s v="TXN300008"/>
    <n v="73"/>
    <x v="3"/>
    <s v="2026-01-12 9:00:00"/>
    <x v="28"/>
    <n v="399"/>
    <s v="Card"/>
    <x v="1"/>
    <n v="73"/>
    <x v="3"/>
    <s v="travel"/>
    <s v="South"/>
    <n v="7.98"/>
  </r>
  <r>
    <s v="TXN300009"/>
    <n v="73"/>
    <x v="36"/>
    <s v="2026-01-12 9:01:00"/>
    <x v="28"/>
    <n v="399"/>
    <s v="Card"/>
    <x v="1"/>
    <n v="82"/>
    <x v="36"/>
    <s v="travel"/>
    <s v="South"/>
    <n v="7.98"/>
  </r>
  <r>
    <s v="TXN300010"/>
    <n v="73"/>
    <x v="20"/>
    <s v="2026-01-12 9:02:00"/>
    <x v="28"/>
    <n v="299"/>
    <s v="Card"/>
    <x v="1"/>
    <n v="88"/>
    <x v="20"/>
    <s v="bill_payment"/>
    <s v="East"/>
    <n v="5.98"/>
  </r>
  <r>
    <s v="TXN300011"/>
    <n v="73"/>
    <x v="26"/>
    <s v="2026-01-12 9:03:00"/>
    <x v="28"/>
    <n v="399"/>
    <s v="Card"/>
    <x v="0"/>
    <n v="64"/>
    <x v="26"/>
    <s v="ecommerce"/>
    <s v="North"/>
    <n v="7.98"/>
  </r>
  <r>
    <s v="TXN300012"/>
    <n v="154"/>
    <x v="30"/>
    <s v="2026-01-02 22:00:00"/>
    <x v="22"/>
    <n v="299"/>
    <s v="Card"/>
    <x v="1"/>
    <n v="81"/>
    <x v="30"/>
    <s v="food_delivery"/>
    <s v="North"/>
    <n v="5.98"/>
  </r>
  <r>
    <s v="TXN300013"/>
    <n v="154"/>
    <x v="23"/>
    <s v="2026-01-02 22:01:00"/>
    <x v="22"/>
    <n v="499"/>
    <s v="Card"/>
    <x v="1"/>
    <n v="70"/>
    <x v="23"/>
    <s v="food_delivery"/>
    <s v="East"/>
    <n v="9.98"/>
  </r>
  <r>
    <s v="TXN300014"/>
    <n v="154"/>
    <x v="0"/>
    <s v="2026-01-02 22:02:00"/>
    <x v="22"/>
    <n v="499"/>
    <s v="Card"/>
    <x v="1"/>
    <n v="71"/>
    <x v="0"/>
    <s v="bill_payment"/>
    <s v="West"/>
    <n v="9.98"/>
  </r>
  <r>
    <s v="TXN300015"/>
    <n v="154"/>
    <x v="25"/>
    <s v="2026-01-02 22:03:00"/>
    <x v="22"/>
    <n v="299"/>
    <s v="Card"/>
    <x v="0"/>
    <n v="81"/>
    <x v="25"/>
    <s v="entertainment"/>
    <s v="East"/>
    <n v="5.98"/>
  </r>
  <r>
    <s v="TXN300016"/>
    <n v="287"/>
    <x v="19"/>
    <s v="2026-01-14 14:00:00"/>
    <x v="12"/>
    <n v="399"/>
    <s v="Card"/>
    <x v="1"/>
    <n v="71"/>
    <x v="19"/>
    <s v="travel"/>
    <s v="North"/>
    <n v="7.98"/>
  </r>
  <r>
    <s v="TXN300017"/>
    <n v="287"/>
    <x v="9"/>
    <s v="2026-01-14 14:01:00"/>
    <x v="12"/>
    <n v="499"/>
    <s v="Card"/>
    <x v="1"/>
    <n v="87"/>
    <x v="9"/>
    <s v="ecommerce"/>
    <s v="East"/>
    <n v="9.98"/>
  </r>
  <r>
    <s v="TXN300018"/>
    <n v="287"/>
    <x v="22"/>
    <s v="2026-01-14 14:02:00"/>
    <x v="12"/>
    <n v="299"/>
    <s v="Card"/>
    <x v="1"/>
    <n v="72"/>
    <x v="22"/>
    <s v="food_delivery"/>
    <s v="East"/>
    <n v="5.98"/>
  </r>
  <r>
    <s v="TXN300019"/>
    <n v="287"/>
    <x v="26"/>
    <s v="2026-01-14 14:03:00"/>
    <x v="12"/>
    <n v="499"/>
    <s v="Card"/>
    <x v="0"/>
    <n v="87"/>
    <x v="26"/>
    <s v="ecommerce"/>
    <s v="North"/>
    <n v="9.98"/>
  </r>
  <r>
    <s v="TXN300020"/>
    <n v="200"/>
    <x v="16"/>
    <s v="2026-01-01 22:00:00"/>
    <x v="9"/>
    <n v="299"/>
    <s v="Card"/>
    <x v="1"/>
    <n v="77"/>
    <x v="16"/>
    <s v="grocery"/>
    <s v="East"/>
    <n v="5.98"/>
  </r>
  <r>
    <s v="TXN300021"/>
    <n v="200"/>
    <x v="32"/>
    <s v="2026-01-01 22:01:00"/>
    <x v="9"/>
    <n v="499"/>
    <s v="Card"/>
    <x v="1"/>
    <n v="66"/>
    <x v="32"/>
    <s v="recharge"/>
    <s v="South"/>
    <n v="9.98"/>
  </r>
  <r>
    <s v="TXN300022"/>
    <n v="200"/>
    <x v="8"/>
    <s v="2026-01-01 22:02:00"/>
    <x v="9"/>
    <n v="299"/>
    <s v="Card"/>
    <x v="1"/>
    <n v="83"/>
    <x v="8"/>
    <s v="recharge"/>
    <s v="East"/>
    <n v="5.98"/>
  </r>
  <r>
    <s v="TXN300023"/>
    <n v="200"/>
    <x v="17"/>
    <s v="2026-01-01 22:03:00"/>
    <x v="9"/>
    <n v="299"/>
    <s v="Card"/>
    <x v="0"/>
    <n v="89"/>
    <x v="17"/>
    <s v="food_delivery"/>
    <s v="East"/>
    <n v="5.98"/>
  </r>
  <r>
    <s v="TXN300024"/>
    <n v="59"/>
    <x v="33"/>
    <s v="2026-01-09 21:00:00"/>
    <x v="10"/>
    <n v="499"/>
    <s v="Card"/>
    <x v="1"/>
    <n v="80"/>
    <x v="33"/>
    <s v="food_delivery"/>
    <s v="West"/>
    <n v="9.98"/>
  </r>
  <r>
    <s v="TXN300025"/>
    <n v="59"/>
    <x v="38"/>
    <s v="2026-01-09 21:01:00"/>
    <x v="10"/>
    <n v="399"/>
    <s v="Card"/>
    <x v="1"/>
    <n v="85"/>
    <x v="38"/>
    <s v="entertainment"/>
    <s v="North"/>
    <n v="7.98"/>
  </r>
  <r>
    <s v="TXN300026"/>
    <n v="59"/>
    <x v="35"/>
    <s v="2026-01-09 21:02:00"/>
    <x v="10"/>
    <n v="299"/>
    <s v="Card"/>
    <x v="1"/>
    <n v="82"/>
    <x v="35"/>
    <s v="grocery"/>
    <s v="East"/>
    <n v="5.98"/>
  </r>
  <r>
    <s v="TXN300027"/>
    <n v="59"/>
    <x v="5"/>
    <s v="2026-01-09 21:03:00"/>
    <x v="10"/>
    <n v="399"/>
    <s v="Card"/>
    <x v="0"/>
    <n v="71"/>
    <x v="5"/>
    <s v="travel"/>
    <s v="North"/>
    <n v="7.98"/>
  </r>
  <r>
    <s v="TXN300028"/>
    <n v="345"/>
    <x v="12"/>
    <s v="2026-01-23 9:00:00"/>
    <x v="20"/>
    <n v="499"/>
    <s v="Card"/>
    <x v="1"/>
    <n v="65"/>
    <x v="12"/>
    <s v="entertainment"/>
    <s v="South"/>
    <n v="9.98"/>
  </r>
  <r>
    <s v="TXN300029"/>
    <n v="345"/>
    <x v="39"/>
    <s v="2026-01-23 9:01:00"/>
    <x v="20"/>
    <n v="399"/>
    <s v="Card"/>
    <x v="1"/>
    <n v="67"/>
    <x v="39"/>
    <s v="ecommerce"/>
    <s v="North"/>
    <n v="7.98"/>
  </r>
  <r>
    <s v="TXN300030"/>
    <n v="345"/>
    <x v="0"/>
    <s v="2026-01-23 9:02:00"/>
    <x v="20"/>
    <n v="399"/>
    <s v="Card"/>
    <x v="1"/>
    <n v="67"/>
    <x v="0"/>
    <s v="bill_payment"/>
    <s v="West"/>
    <n v="7.98"/>
  </r>
  <r>
    <s v="TXN300031"/>
    <n v="345"/>
    <x v="9"/>
    <s v="2026-01-23 9:03:00"/>
    <x v="20"/>
    <n v="399"/>
    <s v="Card"/>
    <x v="0"/>
    <n v="69"/>
    <x v="9"/>
    <s v="ecommerce"/>
    <s v="East"/>
    <n v="7.98"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merchant_name">
  <location ref="X4:Z45" firstHeaderRow="0" firstDataRow="1" firstDataCol="1"/>
  <pivotFields count="3">
    <pivotField axis="axisRow" allDrilled="1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transaction_days" fld="1" subtotal="count" baseField="0" baseItem="0"/>
    <dataField name="transaction_count" fld="2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ransaction_days"/>
    <pivotHierarchy dragToData="1" caption="transaction_count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merchant_workbook" cacheId="1" applyNumberFormats="0" applyBorderFormats="0" applyFontFormats="0" applyPatternFormats="0" applyAlignmentFormats="0" applyWidthHeightFormats="0" dataCaption="" updatedVersion="8" colGrandTotals="0" compact="0" compactData="0">
  <location ref="P4:V47" firstHeaderRow="1" firstDataRow="3" firstDataCol="1"/>
  <pivotFields count="13">
    <pivotField name="transaction_id" compact="0" outline="0" multipleItemSelectionAllowed="1" showAll="0"/>
    <pivotField name="user_id" compact="0" outline="0" multipleItemSelectionAllowed="1" showAll="0"/>
    <pivotField name="merchant_id" axis="axisRow" dataField="1" compact="0" outline="0" multipleItemSelectionAllowed="1" showAll="0" sortType="ascending">
      <items count="41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name="transaction_time" compact="0" numFmtId="49" outline="0" multipleItemSelectionAllowed="1" showAll="0"/>
    <pivotField name="transaction_date" compact="0" outline="0" multipleItemSelectionAllowed="1" showAll="0"/>
    <pivotField name="amount_inr" dataField="1" compact="0" outline="0" multipleItemSelectionAllowed="1" showAll="0"/>
    <pivotField name="payment_method" compact="0" outline="0" multipleItemSelectionAllowed="1" showAll="0"/>
    <pivotField name="status" axis="axisCol" compact="0" outline="0" multipleItemSelectionAllowed="1" showAll="0" sortType="ascending">
      <items count="4">
        <item x="0"/>
        <item x="2"/>
        <item x="1"/>
        <item t="default"/>
      </items>
    </pivotField>
    <pivotField name="risk_score" compact="0" outline="0" multipleItemSelectionAllowed="1" showAll="0"/>
    <pivotField name="merchant_name" compact="0" outline="0" multipleItemSelectionAllowed="1" showAll="0"/>
    <pivotField name="category" compact="0" outline="0" multipleItemSelectionAllowed="1" showAll="0"/>
    <pivotField name="region" compact="0" outline="0" multipleItemSelectionAllowed="1" showAll="0"/>
    <pivotField name="MDR_fee" compact="0" numFmtId="4" outline="0" multipleItemSelectionAllowed="1" showAll="0"/>
  </pivotFields>
  <rowFields count="1">
    <field x="2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2">
    <field x="7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dataFields count="2">
    <dataField name="amount_inr" fld="5" baseField="0"/>
    <dataField name="transaction_count" fld="2" subtotal="countNums" baseField="0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xmlns:r="http://schemas.openxmlformats.org/officeDocument/2006/relationships" name="merchant_workbook_pivot table" cacheId="1" applyNumberFormats="0" applyBorderFormats="0" applyFontFormats="0" applyPatternFormats="0" applyAlignmentFormats="0" applyWidthHeightFormats="0" dataCaption="" updatedVersion="8" compact="0" compactData="0">
  <location ref="A1:E446" firstHeaderRow="1" firstDataRow="2" firstDataCol="3"/>
  <pivotFields count="13">
    <pivotField name="transaction_id" compact="0" outline="0" multipleItemSelectionAllowed="1" showAll="0"/>
    <pivotField name="user_id" compact="0" outline="0" multipleItemSelectionAllowed="1" showAll="0"/>
    <pivotField name="merchant_id" axis="axisRow" compact="0" outline="0" multipleItemSelectionAllowed="1" showAll="0" sortType="ascending" defaultSubtotal="0">
      <items count="40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</items>
    </pivotField>
    <pivotField name="transaction_time" compact="0" numFmtId="49" outline="0" multipleItemSelectionAllowed="1" showAll="0"/>
    <pivotField name="transaction_date" axis="axisRow" compact="0" outline="0" multipleItemSelectionAllowed="1" showAll="0" sortType="ascending">
      <items count="31">
        <item x="9"/>
        <item x="22"/>
        <item x="29"/>
        <item x="1"/>
        <item x="14"/>
        <item x="4"/>
        <item x="25"/>
        <item x="5"/>
        <item x="10"/>
        <item x="27"/>
        <item x="7"/>
        <item x="28"/>
        <item x="11"/>
        <item x="12"/>
        <item x="17"/>
        <item x="24"/>
        <item x="18"/>
        <item x="15"/>
        <item x="23"/>
        <item x="26"/>
        <item x="8"/>
        <item x="13"/>
        <item x="20"/>
        <item x="2"/>
        <item x="21"/>
        <item x="16"/>
        <item x="6"/>
        <item x="19"/>
        <item x="0"/>
        <item x="3"/>
        <item t="default"/>
      </items>
    </pivotField>
    <pivotField name="amount_inr" dataField="1" compact="0" outline="0" multipleItemSelectionAllowed="1" showAll="0"/>
    <pivotField name="payment_method" compact="0" outline="0" multipleItemSelectionAllowed="1" showAll="0"/>
    <pivotField name="status" compact="0" outline="0" multipleItemSelectionAllowed="1" showAll="0"/>
    <pivotField name="risk_score" compact="0" outline="0" multipleItemSelectionAllowed="1" showAll="0"/>
    <pivotField name="merchant_name" axis="axisRow" dataField="1" compact="0" outline="0" multipleItemSelectionAllowed="1" showAll="0" sortType="ascending" defaultSubtotal="0">
      <items count="41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m="1"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ategory" compact="0" outline="0" multipleItemSelectionAllowed="1" showAll="0"/>
    <pivotField name="region" compact="0" outline="0" multipleItemSelectionAllowed="1" showAll="0"/>
    <pivotField name="MDR_fee" compact="0" numFmtId="4" outline="0" multipleItemSelectionAllowed="1" showAll="0"/>
  </pivotFields>
  <rowFields count="3">
    <field x="2"/>
    <field x="9"/>
    <field x="4"/>
  </rowFields>
  <rowItems count="444">
    <i>
      <x/>
      <x/>
      <x v="4"/>
    </i>
    <i r="2">
      <x v="5"/>
    </i>
    <i r="2">
      <x v="8"/>
    </i>
    <i r="2">
      <x v="10"/>
    </i>
    <i r="2">
      <x v="11"/>
    </i>
    <i r="2">
      <x v="16"/>
    </i>
    <i r="2">
      <x v="22"/>
    </i>
    <i>
      <x v="1"/>
      <x v="1"/>
      <x v="6"/>
    </i>
    <i r="2">
      <x v="7"/>
    </i>
    <i r="2">
      <x v="11"/>
    </i>
    <i r="2">
      <x v="12"/>
    </i>
    <i r="2">
      <x v="14"/>
    </i>
    <i r="2">
      <x v="18"/>
    </i>
    <i r="2">
      <x v="21"/>
    </i>
    <i r="2">
      <x v="25"/>
    </i>
    <i r="2">
      <x v="29"/>
    </i>
    <i>
      <x v="2"/>
      <x v="2"/>
      <x v="2"/>
    </i>
    <i r="2">
      <x v="4"/>
    </i>
    <i r="2">
      <x v="5"/>
    </i>
    <i r="2">
      <x v="6"/>
    </i>
    <i r="2">
      <x v="7"/>
    </i>
    <i r="2">
      <x v="12"/>
    </i>
    <i r="2">
      <x v="15"/>
    </i>
    <i r="2">
      <x v="19"/>
    </i>
    <i r="2">
      <x v="21"/>
    </i>
    <i r="2">
      <x v="22"/>
    </i>
    <i r="2">
      <x v="25"/>
    </i>
    <i r="2">
      <x v="28"/>
    </i>
    <i r="2">
      <x v="29"/>
    </i>
    <i>
      <x v="3"/>
      <x v="3"/>
      <x v="1"/>
    </i>
    <i r="2">
      <x v="11"/>
    </i>
    <i r="2">
      <x v="12"/>
    </i>
    <i r="2">
      <x v="15"/>
    </i>
    <i r="2">
      <x v="16"/>
    </i>
    <i r="2">
      <x v="23"/>
    </i>
    <i r="2">
      <x v="24"/>
    </i>
    <i>
      <x v="4"/>
      <x v="4"/>
      <x/>
    </i>
    <i r="2">
      <x v="2"/>
    </i>
    <i r="2">
      <x v="8"/>
    </i>
    <i r="2">
      <x v="9"/>
    </i>
    <i r="2">
      <x v="14"/>
    </i>
    <i r="2">
      <x v="16"/>
    </i>
    <i r="2">
      <x v="17"/>
    </i>
    <i r="2">
      <x v="18"/>
    </i>
    <i r="2">
      <x v="29"/>
    </i>
    <i>
      <x v="5"/>
      <x v="5"/>
      <x/>
    </i>
    <i r="2">
      <x v="2"/>
    </i>
    <i r="2">
      <x v="4"/>
    </i>
    <i r="2">
      <x v="7"/>
    </i>
    <i r="2">
      <x v="8"/>
    </i>
    <i r="2">
      <x v="10"/>
    </i>
    <i r="2">
      <x v="12"/>
    </i>
    <i r="2">
      <x v="14"/>
    </i>
    <i r="2">
      <x v="16"/>
    </i>
    <i r="2">
      <x v="18"/>
    </i>
    <i r="2">
      <x v="20"/>
    </i>
    <i r="2">
      <x v="25"/>
    </i>
    <i>
      <x v="6"/>
      <x v="6"/>
      <x v="1"/>
    </i>
    <i r="2">
      <x v="2"/>
    </i>
    <i r="2">
      <x v="4"/>
    </i>
    <i r="2">
      <x v="7"/>
    </i>
    <i r="2">
      <x v="9"/>
    </i>
    <i r="2">
      <x v="14"/>
    </i>
    <i r="2">
      <x v="16"/>
    </i>
    <i r="2">
      <x v="20"/>
    </i>
    <i r="2">
      <x v="23"/>
    </i>
    <i r="2">
      <x v="24"/>
    </i>
    <i r="2">
      <x v="29"/>
    </i>
    <i>
      <x v="7"/>
      <x v="7"/>
      <x v="1"/>
    </i>
    <i r="2">
      <x v="2"/>
    </i>
    <i r="2">
      <x v="5"/>
    </i>
    <i r="2">
      <x v="7"/>
    </i>
    <i r="2">
      <x v="10"/>
    </i>
    <i r="2">
      <x v="11"/>
    </i>
    <i r="2">
      <x v="15"/>
    </i>
    <i r="2">
      <x v="16"/>
    </i>
    <i r="2">
      <x v="17"/>
    </i>
    <i r="2">
      <x v="18"/>
    </i>
    <i r="2">
      <x v="25"/>
    </i>
    <i r="2">
      <x v="26"/>
    </i>
    <i r="2">
      <x v="29"/>
    </i>
    <i>
      <x v="8"/>
      <x v="8"/>
      <x/>
    </i>
    <i r="2">
      <x v="3"/>
    </i>
    <i r="2">
      <x v="4"/>
    </i>
    <i r="2">
      <x v="5"/>
    </i>
    <i r="2">
      <x v="8"/>
    </i>
    <i r="2">
      <x v="9"/>
    </i>
    <i r="2">
      <x v="11"/>
    </i>
    <i r="2">
      <x v="14"/>
    </i>
    <i r="2">
      <x v="16"/>
    </i>
    <i r="2">
      <x v="17"/>
    </i>
    <i r="2">
      <x v="18"/>
    </i>
    <i r="2">
      <x v="21"/>
    </i>
    <i r="2">
      <x v="22"/>
    </i>
    <i r="2">
      <x v="28"/>
    </i>
    <i>
      <x v="9"/>
      <x v="9"/>
      <x v="4"/>
    </i>
    <i r="2">
      <x v="7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8"/>
    </i>
    <i r="2">
      <x v="19"/>
    </i>
    <i r="2">
      <x v="20"/>
    </i>
    <i r="2">
      <x v="28"/>
    </i>
    <i>
      <x v="10"/>
      <x v="10"/>
      <x v="3"/>
    </i>
    <i r="2">
      <x v="5"/>
    </i>
    <i r="2">
      <x v="6"/>
    </i>
    <i r="2">
      <x v="10"/>
    </i>
    <i r="2">
      <x v="17"/>
    </i>
    <i r="2">
      <x v="19"/>
    </i>
    <i r="2">
      <x v="20"/>
    </i>
    <i r="2">
      <x v="23"/>
    </i>
    <i r="2">
      <x v="28"/>
    </i>
    <i>
      <x v="11"/>
      <x v="11"/>
      <x/>
    </i>
    <i r="2">
      <x v="8"/>
    </i>
    <i r="2">
      <x v="11"/>
    </i>
    <i r="2">
      <x v="13"/>
    </i>
    <i r="2">
      <x v="17"/>
    </i>
    <i r="2">
      <x v="21"/>
    </i>
    <i r="2">
      <x v="22"/>
    </i>
    <i r="2">
      <x v="26"/>
    </i>
    <i r="2">
      <x v="29"/>
    </i>
    <i>
      <x v="12"/>
      <x v="12"/>
      <x v="7"/>
    </i>
    <i r="2">
      <x v="8"/>
    </i>
    <i r="2">
      <x v="9"/>
    </i>
    <i r="2">
      <x v="13"/>
    </i>
    <i r="2">
      <x v="14"/>
    </i>
    <i r="2">
      <x v="19"/>
    </i>
    <i r="2">
      <x v="20"/>
    </i>
    <i r="2">
      <x v="23"/>
    </i>
    <i r="2">
      <x v="25"/>
    </i>
    <i r="2">
      <x v="26"/>
    </i>
    <i r="2">
      <x v="27"/>
    </i>
    <i>
      <x v="13"/>
      <x v="13"/>
      <x/>
    </i>
    <i r="2">
      <x v="1"/>
    </i>
    <i r="2">
      <x v="2"/>
    </i>
    <i r="2">
      <x v="3"/>
    </i>
    <i r="2">
      <x v="4"/>
    </i>
    <i r="2">
      <x v="6"/>
    </i>
    <i r="2">
      <x v="7"/>
    </i>
    <i r="2">
      <x v="17"/>
    </i>
    <i r="2">
      <x v="18"/>
    </i>
    <i r="2">
      <x v="19"/>
    </i>
    <i r="2">
      <x v="24"/>
    </i>
    <i>
      <x v="14"/>
      <x v="14"/>
      <x/>
    </i>
    <i r="2">
      <x v="6"/>
    </i>
    <i r="2">
      <x v="9"/>
    </i>
    <i r="2">
      <x v="12"/>
    </i>
    <i r="2">
      <x v="13"/>
    </i>
    <i r="2">
      <x v="18"/>
    </i>
    <i r="2">
      <x v="23"/>
    </i>
    <i r="2">
      <x v="25"/>
    </i>
    <i r="2">
      <x v="26"/>
    </i>
    <i r="2">
      <x v="28"/>
    </i>
    <i>
      <x v="15"/>
      <x v="15"/>
      <x v="1"/>
    </i>
    <i r="2">
      <x v="2"/>
    </i>
    <i r="2">
      <x v="3"/>
    </i>
    <i r="2">
      <x v="4"/>
    </i>
    <i r="2">
      <x v="10"/>
    </i>
    <i r="2">
      <x v="14"/>
    </i>
    <i r="2">
      <x v="17"/>
    </i>
    <i r="2">
      <x v="19"/>
    </i>
    <i r="2">
      <x v="22"/>
    </i>
    <i r="2">
      <x v="23"/>
    </i>
    <i r="2">
      <x v="24"/>
    </i>
    <i r="2">
      <x v="26"/>
    </i>
    <i r="2">
      <x v="27"/>
    </i>
    <i r="2">
      <x v="28"/>
    </i>
    <i r="2">
      <x v="29"/>
    </i>
    <i>
      <x v="16"/>
      <x v="16"/>
      <x/>
    </i>
    <i r="2">
      <x v="1"/>
    </i>
    <i r="2">
      <x v="2"/>
    </i>
    <i r="2">
      <x v="10"/>
    </i>
    <i r="2">
      <x v="11"/>
    </i>
    <i r="2">
      <x v="16"/>
    </i>
    <i r="2">
      <x v="17"/>
    </i>
    <i r="2">
      <x v="18"/>
    </i>
    <i r="2">
      <x v="27"/>
    </i>
    <i r="2">
      <x v="29"/>
    </i>
    <i>
      <x v="17"/>
      <x v="17"/>
      <x v="5"/>
    </i>
    <i r="2">
      <x v="10"/>
    </i>
    <i r="2">
      <x v="11"/>
    </i>
    <i r="2">
      <x v="13"/>
    </i>
    <i r="2">
      <x v="14"/>
    </i>
    <i r="2">
      <x v="15"/>
    </i>
    <i r="2">
      <x v="17"/>
    </i>
    <i r="2">
      <x v="19"/>
    </i>
    <i r="2">
      <x v="24"/>
    </i>
    <i>
      <x v="18"/>
      <x v="18"/>
      <x v="1"/>
    </i>
    <i r="2">
      <x v="5"/>
    </i>
    <i r="2">
      <x v="8"/>
    </i>
    <i r="2">
      <x v="9"/>
    </i>
    <i r="2">
      <x v="14"/>
    </i>
    <i r="2">
      <x v="15"/>
    </i>
    <i r="2">
      <x v="18"/>
    </i>
    <i r="2">
      <x v="19"/>
    </i>
    <i r="2">
      <x v="21"/>
    </i>
    <i r="2">
      <x v="23"/>
    </i>
    <i r="2">
      <x v="24"/>
    </i>
    <i r="2">
      <x v="25"/>
    </i>
    <i>
      <x v="19"/>
      <x v="19"/>
      <x v="1"/>
    </i>
    <i r="2">
      <x v="2"/>
    </i>
    <i r="2">
      <x v="3"/>
    </i>
    <i r="2">
      <x v="9"/>
    </i>
    <i r="2">
      <x v="20"/>
    </i>
    <i r="2">
      <x v="22"/>
    </i>
    <i r="2">
      <x v="23"/>
    </i>
    <i r="2">
      <x v="28"/>
    </i>
    <i>
      <x v="20"/>
      <x v="20"/>
      <x/>
    </i>
    <i r="2">
      <x v="4"/>
    </i>
    <i r="2">
      <x v="8"/>
    </i>
    <i r="2">
      <x v="13"/>
    </i>
    <i r="2">
      <x v="14"/>
    </i>
    <i r="2">
      <x v="15"/>
    </i>
    <i r="2">
      <x v="17"/>
    </i>
    <i r="2">
      <x v="18"/>
    </i>
    <i r="2">
      <x v="19"/>
    </i>
    <i r="2">
      <x v="20"/>
    </i>
    <i r="2">
      <x v="24"/>
    </i>
    <i r="2">
      <x v="25"/>
    </i>
    <i r="2">
      <x v="26"/>
    </i>
    <i>
      <x v="21"/>
      <x v="21"/>
      <x/>
    </i>
    <i r="2">
      <x v="4"/>
    </i>
    <i r="2">
      <x v="6"/>
    </i>
    <i r="2">
      <x v="9"/>
    </i>
    <i r="2">
      <x v="10"/>
    </i>
    <i r="2">
      <x v="11"/>
    </i>
    <i r="2">
      <x v="12"/>
    </i>
    <i r="2">
      <x v="13"/>
    </i>
    <i r="2">
      <x v="16"/>
    </i>
    <i r="2">
      <x v="22"/>
    </i>
    <i r="2">
      <x v="28"/>
    </i>
    <i>
      <x v="22"/>
      <x v="22"/>
      <x v="7"/>
    </i>
    <i r="2">
      <x v="8"/>
    </i>
    <i r="2">
      <x v="11"/>
    </i>
    <i r="2">
      <x v="16"/>
    </i>
    <i r="2">
      <x v="17"/>
    </i>
    <i r="2">
      <x v="21"/>
    </i>
    <i r="2">
      <x v="22"/>
    </i>
    <i r="2">
      <x v="25"/>
    </i>
    <i>
      <x v="23"/>
      <x v="23"/>
      <x v="2"/>
    </i>
    <i r="2">
      <x v="3"/>
    </i>
    <i r="2">
      <x v="6"/>
    </i>
    <i r="2">
      <x v="10"/>
    </i>
    <i r="2">
      <x v="11"/>
    </i>
    <i r="2">
      <x v="13"/>
    </i>
    <i r="2">
      <x v="19"/>
    </i>
    <i r="2">
      <x v="20"/>
    </i>
    <i r="2">
      <x v="21"/>
    </i>
    <i r="2">
      <x v="23"/>
    </i>
    <i r="2">
      <x v="25"/>
    </i>
    <i>
      <x v="24"/>
      <x v="24"/>
      <x v="1"/>
    </i>
    <i r="2">
      <x v="4"/>
    </i>
    <i r="2">
      <x v="5"/>
    </i>
    <i r="2">
      <x v="10"/>
    </i>
    <i r="2">
      <x v="12"/>
    </i>
    <i r="2">
      <x v="14"/>
    </i>
    <i r="2">
      <x v="15"/>
    </i>
    <i r="2">
      <x v="18"/>
    </i>
    <i r="2">
      <x v="23"/>
    </i>
    <i r="2">
      <x v="27"/>
    </i>
    <i r="2">
      <x v="28"/>
    </i>
    <i>
      <x v="25"/>
      <x v="25"/>
      <x v="1"/>
    </i>
    <i r="2">
      <x v="2"/>
    </i>
    <i r="2">
      <x v="5"/>
    </i>
    <i r="2">
      <x v="9"/>
    </i>
    <i r="2">
      <x v="11"/>
    </i>
    <i r="2">
      <x v="13"/>
    </i>
    <i r="2">
      <x v="21"/>
    </i>
    <i r="2">
      <x v="22"/>
    </i>
    <i r="2">
      <x v="27"/>
    </i>
    <i r="2">
      <x v="28"/>
    </i>
    <i r="2">
      <x v="29"/>
    </i>
    <i>
      <x v="26"/>
      <x v="26"/>
      <x/>
    </i>
    <i r="2">
      <x v="3"/>
    </i>
    <i r="2">
      <x v="9"/>
    </i>
    <i r="2">
      <x v="11"/>
    </i>
    <i r="2">
      <x v="13"/>
    </i>
    <i r="2">
      <x v="14"/>
    </i>
    <i r="2">
      <x v="16"/>
    </i>
    <i r="2">
      <x v="18"/>
    </i>
    <i r="2">
      <x v="19"/>
    </i>
    <i r="2">
      <x v="20"/>
    </i>
    <i r="2">
      <x v="21"/>
    </i>
    <i r="2">
      <x v="22"/>
    </i>
    <i r="2">
      <x v="23"/>
    </i>
    <i>
      <x v="27"/>
      <x v="27"/>
      <x v="7"/>
    </i>
    <i r="2">
      <x v="8"/>
    </i>
    <i r="2">
      <x v="9"/>
    </i>
    <i r="2">
      <x v="10"/>
    </i>
    <i r="2">
      <x v="13"/>
    </i>
    <i r="2">
      <x v="14"/>
    </i>
    <i r="2">
      <x v="15"/>
    </i>
    <i r="2">
      <x v="20"/>
    </i>
    <i r="2">
      <x v="21"/>
    </i>
    <i r="2">
      <x v="29"/>
    </i>
    <i>
      <x v="28"/>
      <x v="28"/>
      <x v="3"/>
    </i>
    <i r="2">
      <x v="4"/>
    </i>
    <i r="2">
      <x v="7"/>
    </i>
    <i r="2">
      <x v="8"/>
    </i>
    <i r="2">
      <x v="11"/>
    </i>
    <i r="2">
      <x v="13"/>
    </i>
    <i r="2">
      <x v="14"/>
    </i>
    <i r="2">
      <x v="16"/>
    </i>
    <i r="2">
      <x v="18"/>
    </i>
    <i r="2">
      <x v="19"/>
    </i>
    <i r="2">
      <x v="24"/>
    </i>
    <i r="2">
      <x v="26"/>
    </i>
    <i r="2">
      <x v="27"/>
    </i>
    <i>
      <x v="29"/>
      <x v="29"/>
      <x v="2"/>
    </i>
    <i r="2">
      <x v="7"/>
    </i>
    <i r="2">
      <x v="8"/>
    </i>
    <i r="2">
      <x v="11"/>
    </i>
    <i r="2">
      <x v="12"/>
    </i>
    <i r="2">
      <x v="13"/>
    </i>
    <i r="2">
      <x v="14"/>
    </i>
    <i r="2">
      <x v="16"/>
    </i>
    <i r="2">
      <x v="17"/>
    </i>
    <i r="2">
      <x v="25"/>
    </i>
    <i r="2">
      <x v="27"/>
    </i>
    <i r="2">
      <x v="28"/>
    </i>
    <i r="2">
      <x v="29"/>
    </i>
    <i>
      <x v="30"/>
      <x v="30"/>
      <x v="4"/>
    </i>
    <i r="2">
      <x v="6"/>
    </i>
    <i r="2">
      <x v="8"/>
    </i>
    <i r="2">
      <x v="9"/>
    </i>
    <i r="2">
      <x v="11"/>
    </i>
    <i r="2">
      <x v="12"/>
    </i>
    <i r="2">
      <x v="13"/>
    </i>
    <i r="2">
      <x v="14"/>
    </i>
    <i r="2">
      <x v="15"/>
    </i>
    <i r="2">
      <x v="17"/>
    </i>
    <i r="2">
      <x v="20"/>
    </i>
    <i r="2">
      <x v="21"/>
    </i>
    <i r="2">
      <x v="27"/>
    </i>
    <i r="2">
      <x v="28"/>
    </i>
    <i>
      <x v="31"/>
      <x v="31"/>
      <x v="2"/>
    </i>
    <i r="2">
      <x v="3"/>
    </i>
    <i r="2">
      <x v="5"/>
    </i>
    <i r="2">
      <x v="8"/>
    </i>
    <i r="2">
      <x v="12"/>
    </i>
    <i r="2">
      <x v="14"/>
    </i>
    <i r="2">
      <x v="17"/>
    </i>
    <i r="2">
      <x v="20"/>
    </i>
    <i r="2">
      <x v="23"/>
    </i>
    <i r="2">
      <x v="24"/>
    </i>
    <i r="2">
      <x v="26"/>
    </i>
    <i r="2">
      <x v="27"/>
    </i>
    <i>
      <x v="32"/>
      <x v="32"/>
      <x v="2"/>
    </i>
    <i r="2">
      <x v="3"/>
    </i>
    <i r="2">
      <x v="11"/>
    </i>
    <i r="2">
      <x v="14"/>
    </i>
    <i r="2">
      <x v="19"/>
    </i>
    <i r="2">
      <x v="20"/>
    </i>
    <i r="2">
      <x v="21"/>
    </i>
    <i r="2">
      <x v="22"/>
    </i>
    <i r="2">
      <x v="23"/>
    </i>
    <i r="2">
      <x v="24"/>
    </i>
    <i>
      <x v="33"/>
      <x v="33"/>
      <x v="1"/>
    </i>
    <i r="2">
      <x v="4"/>
    </i>
    <i r="2">
      <x v="8"/>
    </i>
    <i r="2">
      <x v="9"/>
    </i>
    <i r="2">
      <x v="11"/>
    </i>
    <i r="2">
      <x v="16"/>
    </i>
    <i r="2">
      <x v="17"/>
    </i>
    <i r="2">
      <x v="18"/>
    </i>
    <i r="2">
      <x v="20"/>
    </i>
    <i r="2">
      <x v="21"/>
    </i>
    <i r="2">
      <x v="22"/>
    </i>
    <i r="2">
      <x v="23"/>
    </i>
    <i>
      <x v="34"/>
      <x v="34"/>
      <x/>
    </i>
    <i r="2">
      <x v="1"/>
    </i>
    <i r="2">
      <x v="10"/>
    </i>
    <i r="2">
      <x v="11"/>
    </i>
    <i r="2">
      <x v="12"/>
    </i>
    <i r="2">
      <x v="20"/>
    </i>
    <i r="2">
      <x v="21"/>
    </i>
    <i r="2">
      <x v="23"/>
    </i>
    <i r="2">
      <x v="25"/>
    </i>
    <i r="2">
      <x v="27"/>
    </i>
    <i r="2">
      <x v="29"/>
    </i>
    <i>
      <x v="35"/>
      <x v="35"/>
      <x/>
    </i>
    <i r="2">
      <x v="1"/>
    </i>
    <i r="2">
      <x v="2"/>
    </i>
    <i r="2">
      <x v="3"/>
    </i>
    <i r="2">
      <x v="15"/>
    </i>
    <i r="2">
      <x v="16"/>
    </i>
    <i r="2">
      <x v="18"/>
    </i>
    <i r="2">
      <x v="19"/>
    </i>
    <i r="2">
      <x v="23"/>
    </i>
    <i r="2">
      <x v="25"/>
    </i>
    <i r="2">
      <x v="27"/>
    </i>
    <i r="2">
      <x v="28"/>
    </i>
    <i>
      <x v="36"/>
      <x v="36"/>
      <x/>
    </i>
    <i r="2">
      <x v="1"/>
    </i>
    <i r="2">
      <x v="2"/>
    </i>
    <i r="2">
      <x v="3"/>
    </i>
    <i r="2">
      <x v="4"/>
    </i>
    <i r="2">
      <x v="5"/>
    </i>
    <i r="2">
      <x v="11"/>
    </i>
    <i r="2">
      <x v="15"/>
    </i>
    <i r="2">
      <x v="16"/>
    </i>
    <i r="2">
      <x v="19"/>
    </i>
    <i r="2">
      <x v="20"/>
    </i>
    <i r="2">
      <x v="22"/>
    </i>
    <i r="2">
      <x v="26"/>
    </i>
    <i r="2">
      <x v="27"/>
    </i>
    <i r="2">
      <x v="28"/>
    </i>
    <i r="2">
      <x v="29"/>
    </i>
    <i>
      <x v="37"/>
      <x v="37"/>
      <x v="4"/>
    </i>
    <i r="2">
      <x v="5"/>
    </i>
    <i r="2">
      <x v="8"/>
    </i>
    <i r="2">
      <x v="9"/>
    </i>
    <i r="2">
      <x v="14"/>
    </i>
    <i r="2">
      <x v="21"/>
    </i>
    <i r="2">
      <x v="22"/>
    </i>
    <i r="2">
      <x v="27"/>
    </i>
    <i>
      <x v="38"/>
      <x v="38"/>
      <x v="1"/>
    </i>
    <i r="2">
      <x v="4"/>
    </i>
    <i r="2">
      <x v="8"/>
    </i>
    <i r="2">
      <x v="9"/>
    </i>
    <i r="2">
      <x v="15"/>
    </i>
    <i r="2">
      <x v="16"/>
    </i>
    <i r="2">
      <x v="17"/>
    </i>
    <i r="2">
      <x v="21"/>
    </i>
    <i r="2">
      <x v="22"/>
    </i>
    <i r="2">
      <x v="28"/>
    </i>
    <i>
      <x v="39"/>
      <x v="39"/>
      <x/>
    </i>
    <i r="2">
      <x v="2"/>
    </i>
    <i r="2">
      <x v="7"/>
    </i>
    <i r="2">
      <x v="10"/>
    </i>
    <i r="2">
      <x v="11"/>
    </i>
    <i r="2">
      <x v="12"/>
    </i>
    <i r="2">
      <x v="13"/>
    </i>
    <i r="2">
      <x v="14"/>
    </i>
    <i r="2">
      <x v="17"/>
    </i>
    <i r="2">
      <x v="18"/>
    </i>
    <i r="2">
      <x v="22"/>
    </i>
    <i r="2">
      <x v="28"/>
    </i>
    <i r="2"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_inr" fld="5" baseField="0"/>
    <dataField name="COUNTA of merchant_name" fld="9" subtotal="count" baseField="0"/>
  </dataFields>
  <pivotTableStyleInfo showRowHeaders="1" showColHeaders="1" showRowStripes="0" showColStripes="0" showLastColumn="1"/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1.xml"/><Relationship  Id="rId2" Type="http://schemas.openxmlformats.org/officeDocument/2006/relationships/pivotTable" Target="../pivotTables/pivotTable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640625" defaultRowHeight="15.75" customHeight="1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</v>
      </c>
      <c r="B2" s="3" t="s">
        <v>4</v>
      </c>
      <c r="C2" s="3" t="s">
        <v>5</v>
      </c>
      <c r="D2" s="3" t="s">
        <v>6</v>
      </c>
    </row>
    <row r="3">
      <c r="A3" s="2">
        <v>2</v>
      </c>
      <c r="B3" s="3" t="s">
        <v>7</v>
      </c>
      <c r="C3" s="3" t="s">
        <v>8</v>
      </c>
      <c r="D3" s="3" t="s">
        <v>9</v>
      </c>
    </row>
    <row r="4">
      <c r="A4" s="2">
        <v>3</v>
      </c>
      <c r="B4" s="3" t="s">
        <v>10</v>
      </c>
      <c r="C4" s="3" t="s">
        <v>8</v>
      </c>
      <c r="D4" s="3" t="s">
        <v>11</v>
      </c>
    </row>
    <row r="5">
      <c r="A5" s="2">
        <v>4</v>
      </c>
      <c r="B5" s="3" t="s">
        <v>12</v>
      </c>
      <c r="C5" s="3" t="s">
        <v>5</v>
      </c>
      <c r="D5" s="3" t="s">
        <v>11</v>
      </c>
    </row>
    <row r="6">
      <c r="A6" s="2">
        <v>5</v>
      </c>
      <c r="B6" s="3" t="s">
        <v>13</v>
      </c>
      <c r="C6" s="3" t="s">
        <v>14</v>
      </c>
      <c r="D6" s="3" t="s">
        <v>6</v>
      </c>
    </row>
    <row r="7">
      <c r="A7" s="2">
        <v>6</v>
      </c>
      <c r="B7" s="3" t="s">
        <v>15</v>
      </c>
      <c r="C7" s="3" t="s">
        <v>16</v>
      </c>
      <c r="D7" s="3" t="s">
        <v>6</v>
      </c>
    </row>
    <row r="8">
      <c r="A8" s="2">
        <v>7</v>
      </c>
      <c r="B8" s="3" t="s">
        <v>17</v>
      </c>
      <c r="C8" s="3" t="s">
        <v>16</v>
      </c>
      <c r="D8" s="3" t="s">
        <v>11</v>
      </c>
    </row>
    <row r="9">
      <c r="A9" s="2">
        <v>8</v>
      </c>
      <c r="B9" s="3" t="s">
        <v>18</v>
      </c>
      <c r="C9" s="3" t="s">
        <v>16</v>
      </c>
      <c r="D9" s="3" t="s">
        <v>19</v>
      </c>
    </row>
    <row r="10">
      <c r="A10" s="2">
        <v>9</v>
      </c>
      <c r="B10" s="3" t="s">
        <v>20</v>
      </c>
      <c r="C10" s="3" t="s">
        <v>5</v>
      </c>
      <c r="D10" s="3" t="s">
        <v>19</v>
      </c>
    </row>
    <row r="11">
      <c r="A11" s="2">
        <v>10</v>
      </c>
      <c r="B11" s="3" t="s">
        <v>21</v>
      </c>
      <c r="C11" s="3" t="s">
        <v>8</v>
      </c>
      <c r="D11" s="3" t="s">
        <v>9</v>
      </c>
    </row>
    <row r="12">
      <c r="A12" s="2">
        <v>11</v>
      </c>
      <c r="B12" s="3" t="s">
        <v>22</v>
      </c>
      <c r="C12" s="3" t="s">
        <v>5</v>
      </c>
      <c r="D12" s="3" t="s">
        <v>19</v>
      </c>
    </row>
    <row r="13">
      <c r="A13" s="2">
        <v>12</v>
      </c>
      <c r="B13" s="3" t="s">
        <v>23</v>
      </c>
      <c r="C13" s="3" t="s">
        <v>5</v>
      </c>
      <c r="D13" s="3" t="s">
        <v>11</v>
      </c>
    </row>
    <row r="14">
      <c r="A14" s="2">
        <v>13</v>
      </c>
      <c r="B14" s="3" t="s">
        <v>24</v>
      </c>
      <c r="C14" s="3" t="s">
        <v>25</v>
      </c>
      <c r="D14" s="3" t="s">
        <v>11</v>
      </c>
    </row>
    <row r="15">
      <c r="A15" s="2">
        <v>14</v>
      </c>
      <c r="B15" s="3" t="s">
        <v>26</v>
      </c>
      <c r="C15" s="3" t="s">
        <v>8</v>
      </c>
      <c r="D15" s="3" t="s">
        <v>11</v>
      </c>
    </row>
    <row r="16">
      <c r="A16" s="2">
        <v>15</v>
      </c>
      <c r="B16" s="3" t="s">
        <v>27</v>
      </c>
      <c r="C16" s="3" t="s">
        <v>25</v>
      </c>
      <c r="D16" s="3" t="s">
        <v>19</v>
      </c>
    </row>
    <row r="17">
      <c r="A17" s="2">
        <v>16</v>
      </c>
      <c r="B17" s="3" t="s">
        <v>28</v>
      </c>
      <c r="C17" s="3" t="s">
        <v>29</v>
      </c>
      <c r="D17" s="3" t="s">
        <v>9</v>
      </c>
    </row>
    <row r="18">
      <c r="A18" s="2">
        <v>17</v>
      </c>
      <c r="B18" s="3" t="s">
        <v>30</v>
      </c>
      <c r="C18" s="3" t="s">
        <v>8</v>
      </c>
      <c r="D18" s="3" t="s">
        <v>19</v>
      </c>
    </row>
    <row r="19">
      <c r="A19" s="2">
        <v>18</v>
      </c>
      <c r="B19" s="3" t="s">
        <v>31</v>
      </c>
      <c r="C19" s="3" t="s">
        <v>8</v>
      </c>
      <c r="D19" s="3" t="s">
        <v>9</v>
      </c>
    </row>
    <row r="20">
      <c r="A20" s="2">
        <v>19</v>
      </c>
      <c r="B20" s="3" t="s">
        <v>32</v>
      </c>
      <c r="C20" s="3" t="s">
        <v>8</v>
      </c>
      <c r="D20" s="3" t="s">
        <v>19</v>
      </c>
    </row>
    <row r="21">
      <c r="A21" s="2">
        <v>20</v>
      </c>
      <c r="B21" s="3" t="s">
        <v>33</v>
      </c>
      <c r="C21" s="3" t="s">
        <v>16</v>
      </c>
      <c r="D21" s="3" t="s">
        <v>11</v>
      </c>
    </row>
    <row r="22">
      <c r="A22" s="2">
        <v>21</v>
      </c>
      <c r="B22" s="3" t="s">
        <v>34</v>
      </c>
      <c r="C22" s="3" t="s">
        <v>16</v>
      </c>
      <c r="D22" s="3" t="s">
        <v>11</v>
      </c>
    </row>
    <row r="23">
      <c r="A23" s="2">
        <v>22</v>
      </c>
      <c r="B23" s="3" t="s">
        <v>35</v>
      </c>
      <c r="C23" s="3" t="s">
        <v>25</v>
      </c>
      <c r="D23" s="3" t="s">
        <v>6</v>
      </c>
    </row>
    <row r="24">
      <c r="A24" s="2">
        <v>23</v>
      </c>
      <c r="B24" s="3" t="s">
        <v>36</v>
      </c>
      <c r="C24" s="3" t="s">
        <v>25</v>
      </c>
      <c r="D24" s="3" t="s">
        <v>19</v>
      </c>
    </row>
    <row r="25">
      <c r="A25" s="2">
        <v>24</v>
      </c>
      <c r="B25" s="3" t="s">
        <v>37</v>
      </c>
      <c r="C25" s="3" t="s">
        <v>8</v>
      </c>
      <c r="D25" s="3" t="s">
        <v>19</v>
      </c>
    </row>
    <row r="26">
      <c r="A26" s="2">
        <v>25</v>
      </c>
      <c r="B26" s="3" t="s">
        <v>38</v>
      </c>
      <c r="C26" s="3" t="s">
        <v>25</v>
      </c>
      <c r="D26" s="3" t="s">
        <v>6</v>
      </c>
    </row>
    <row r="27">
      <c r="A27" s="2">
        <v>26</v>
      </c>
      <c r="B27" s="3" t="s">
        <v>39</v>
      </c>
      <c r="C27" s="3" t="s">
        <v>16</v>
      </c>
      <c r="D27" s="3" t="s">
        <v>11</v>
      </c>
    </row>
    <row r="28">
      <c r="A28" s="2">
        <v>27</v>
      </c>
      <c r="B28" s="3" t="s">
        <v>40</v>
      </c>
      <c r="C28" s="3" t="s">
        <v>5</v>
      </c>
      <c r="D28" s="3" t="s">
        <v>19</v>
      </c>
    </row>
    <row r="29">
      <c r="A29" s="2">
        <v>28</v>
      </c>
      <c r="B29" s="3" t="s">
        <v>41</v>
      </c>
      <c r="C29" s="3" t="s">
        <v>5</v>
      </c>
      <c r="D29" s="3" t="s">
        <v>6</v>
      </c>
    </row>
    <row r="30">
      <c r="A30" s="2">
        <v>29</v>
      </c>
      <c r="B30" s="3" t="s">
        <v>42</v>
      </c>
      <c r="C30" s="3" t="s">
        <v>5</v>
      </c>
      <c r="D30" s="3" t="s">
        <v>19</v>
      </c>
    </row>
    <row r="31">
      <c r="A31" s="2">
        <v>30</v>
      </c>
      <c r="B31" s="3" t="s">
        <v>43</v>
      </c>
      <c r="C31" s="3" t="s">
        <v>25</v>
      </c>
      <c r="D31" s="3" t="s">
        <v>9</v>
      </c>
    </row>
    <row r="32">
      <c r="A32" s="2">
        <v>31</v>
      </c>
      <c r="B32" s="3" t="s">
        <v>44</v>
      </c>
      <c r="C32" s="3" t="s">
        <v>29</v>
      </c>
      <c r="D32" s="3" t="s">
        <v>11</v>
      </c>
    </row>
    <row r="33">
      <c r="A33" s="2">
        <v>32</v>
      </c>
      <c r="B33" s="3" t="s">
        <v>45</v>
      </c>
      <c r="C33" s="3" t="s">
        <v>16</v>
      </c>
      <c r="D33" s="3" t="s">
        <v>9</v>
      </c>
    </row>
    <row r="34">
      <c r="A34" s="2">
        <v>33</v>
      </c>
      <c r="B34" s="3" t="s">
        <v>46</v>
      </c>
      <c r="C34" s="3" t="s">
        <v>29</v>
      </c>
      <c r="D34" s="3" t="s">
        <v>11</v>
      </c>
    </row>
    <row r="35">
      <c r="A35" s="2">
        <v>34</v>
      </c>
      <c r="B35" s="3" t="s">
        <v>47</v>
      </c>
      <c r="C35" s="3" t="s">
        <v>25</v>
      </c>
      <c r="D35" s="3" t="s">
        <v>6</v>
      </c>
    </row>
    <row r="36">
      <c r="A36" s="2">
        <v>35</v>
      </c>
      <c r="B36" s="3" t="s">
        <v>48</v>
      </c>
      <c r="C36" s="3" t="s">
        <v>14</v>
      </c>
      <c r="D36" s="3" t="s">
        <v>11</v>
      </c>
    </row>
    <row r="37">
      <c r="A37" s="2">
        <v>36</v>
      </c>
      <c r="B37" s="3" t="s">
        <v>49</v>
      </c>
      <c r="C37" s="3" t="s">
        <v>50</v>
      </c>
      <c r="D37" s="3" t="s">
        <v>11</v>
      </c>
    </row>
    <row r="38">
      <c r="A38" s="2">
        <v>37</v>
      </c>
      <c r="B38" s="3" t="s">
        <v>51</v>
      </c>
      <c r="C38" s="3" t="s">
        <v>50</v>
      </c>
      <c r="D38" s="3" t="s">
        <v>6</v>
      </c>
    </row>
    <row r="39">
      <c r="A39" s="2">
        <v>38</v>
      </c>
      <c r="B39" s="3" t="s">
        <v>52</v>
      </c>
      <c r="C39" s="3" t="s">
        <v>8</v>
      </c>
      <c r="D39" s="3" t="s">
        <v>11</v>
      </c>
    </row>
    <row r="40">
      <c r="A40" s="2">
        <v>39</v>
      </c>
      <c r="B40" s="3" t="s">
        <v>53</v>
      </c>
      <c r="C40" s="3" t="s">
        <v>50</v>
      </c>
      <c r="D40" s="3" t="s">
        <v>19</v>
      </c>
    </row>
    <row r="41">
      <c r="A41" s="2">
        <v>40</v>
      </c>
      <c r="B41" s="3" t="s">
        <v>54</v>
      </c>
      <c r="C41" s="3" t="s">
        <v>50</v>
      </c>
      <c r="D41" s="3" t="s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D25" activeCellId="0" sqref="D25"/>
    </sheetView>
  </sheetViews>
  <sheetFormatPr defaultColWidth="12.6640625" defaultRowHeight="15.75" customHeight="1"/>
  <sheetData>
    <row r="1">
      <c r="A1" s="1" t="s">
        <v>55</v>
      </c>
      <c r="B1" s="1" t="s">
        <v>56</v>
      </c>
      <c r="C1" s="1" t="s">
        <v>0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4"/>
    </row>
    <row r="2">
      <c r="A2" s="3" t="s">
        <v>62</v>
      </c>
      <c r="B2" s="2">
        <v>350</v>
      </c>
      <c r="C2" s="2">
        <v>16</v>
      </c>
      <c r="D2" s="5">
        <v>46051.467361111114</v>
      </c>
      <c r="E2" s="2">
        <v>2999</v>
      </c>
      <c r="F2" s="3" t="s">
        <v>63</v>
      </c>
      <c r="G2" s="3" t="s">
        <v>64</v>
      </c>
      <c r="H2" s="2">
        <v>85</v>
      </c>
      <c r="I2" s="6"/>
    </row>
    <row r="3">
      <c r="A3" s="3" t="s">
        <v>65</v>
      </c>
      <c r="B3" s="2">
        <v>287</v>
      </c>
      <c r="C3" s="2">
        <v>27</v>
      </c>
      <c r="D3" s="5">
        <v>46026.492361111108</v>
      </c>
      <c r="E3" s="2">
        <v>49</v>
      </c>
      <c r="F3" s="3" t="s">
        <v>66</v>
      </c>
      <c r="G3" s="3" t="s">
        <v>64</v>
      </c>
      <c r="H3" s="2">
        <v>79</v>
      </c>
      <c r="I3" s="6"/>
    </row>
    <row r="4">
      <c r="A4" s="3" t="s">
        <v>67</v>
      </c>
      <c r="B4" s="2">
        <v>122</v>
      </c>
      <c r="C4" s="2">
        <v>11</v>
      </c>
      <c r="D4" s="5">
        <v>46046.207638888889</v>
      </c>
      <c r="E4" s="2">
        <v>1499</v>
      </c>
      <c r="F4" s="3" t="s">
        <v>63</v>
      </c>
      <c r="G4" s="3" t="s">
        <v>64</v>
      </c>
      <c r="H4" s="2">
        <v>22</v>
      </c>
      <c r="I4" s="6"/>
    </row>
    <row r="5">
      <c r="A5" s="3" t="s">
        <v>68</v>
      </c>
      <c r="B5" s="2">
        <v>92</v>
      </c>
      <c r="C5" s="2">
        <v>22</v>
      </c>
      <c r="D5" s="5">
        <v>46051.542361111111</v>
      </c>
      <c r="E5" s="2">
        <v>49</v>
      </c>
      <c r="F5" s="3" t="s">
        <v>69</v>
      </c>
      <c r="G5" s="3" t="s">
        <v>64</v>
      </c>
      <c r="H5" s="2">
        <v>100</v>
      </c>
      <c r="I5" s="6"/>
    </row>
    <row r="6">
      <c r="A6" s="3" t="s">
        <v>70</v>
      </c>
      <c r="B6" s="2">
        <v>343</v>
      </c>
      <c r="C6" s="2">
        <v>16</v>
      </c>
      <c r="D6" s="5">
        <v>46052.57708333333</v>
      </c>
      <c r="E6" s="2">
        <v>99</v>
      </c>
      <c r="F6" s="3" t="s">
        <v>66</v>
      </c>
      <c r="G6" s="3" t="s">
        <v>64</v>
      </c>
      <c r="H6" s="2">
        <v>34</v>
      </c>
      <c r="I6" s="6"/>
    </row>
    <row r="7">
      <c r="A7" s="3" t="s">
        <v>71</v>
      </c>
      <c r="B7" s="2">
        <v>196</v>
      </c>
      <c r="C7" s="2">
        <v>3</v>
      </c>
      <c r="D7" s="5">
        <v>46028.92083333333</v>
      </c>
      <c r="E7" s="2">
        <v>99</v>
      </c>
      <c r="F7" s="3" t="s">
        <v>66</v>
      </c>
      <c r="G7" s="3" t="s">
        <v>64</v>
      </c>
      <c r="H7" s="2">
        <v>60</v>
      </c>
      <c r="I7" s="6"/>
    </row>
    <row r="8">
      <c r="A8" s="3" t="s">
        <v>72</v>
      </c>
      <c r="B8" s="2">
        <v>236</v>
      </c>
      <c r="C8" s="2">
        <v>23</v>
      </c>
      <c r="D8" s="5">
        <v>46030.286111111112</v>
      </c>
      <c r="E8" s="2">
        <v>99</v>
      </c>
      <c r="F8" s="3" t="s">
        <v>63</v>
      </c>
      <c r="G8" s="3" t="s">
        <v>64</v>
      </c>
      <c r="H8" s="2">
        <v>39</v>
      </c>
      <c r="I8" s="6"/>
    </row>
    <row r="9">
      <c r="A9" s="3" t="s">
        <v>73</v>
      </c>
      <c r="B9" s="2">
        <v>13</v>
      </c>
      <c r="C9" s="2">
        <v>13</v>
      </c>
      <c r="D9" s="5">
        <v>46049.301388888889</v>
      </c>
      <c r="E9" s="2">
        <v>99</v>
      </c>
      <c r="F9" s="3" t="s">
        <v>66</v>
      </c>
      <c r="G9" s="3" t="s">
        <v>64</v>
      </c>
      <c r="H9" s="2">
        <v>51</v>
      </c>
      <c r="I9" s="6"/>
    </row>
    <row r="10">
      <c r="A10" s="3" t="s">
        <v>74</v>
      </c>
      <c r="B10" s="2">
        <v>36</v>
      </c>
      <c r="C10" s="2">
        <v>18</v>
      </c>
      <c r="D10" s="5">
        <v>46033.371527777781</v>
      </c>
      <c r="E10" s="2">
        <v>799</v>
      </c>
      <c r="F10" s="3" t="s">
        <v>66</v>
      </c>
      <c r="G10" s="3" t="s">
        <v>64</v>
      </c>
      <c r="H10" s="2">
        <v>44</v>
      </c>
      <c r="I10" s="6"/>
    </row>
    <row r="11">
      <c r="A11" s="3" t="s">
        <v>75</v>
      </c>
      <c r="B11" s="2">
        <v>348</v>
      </c>
      <c r="C11" s="2">
        <v>35</v>
      </c>
      <c r="D11" s="5">
        <v>46043.684027777781</v>
      </c>
      <c r="E11" s="2">
        <v>299</v>
      </c>
      <c r="F11" s="3" t="s">
        <v>66</v>
      </c>
      <c r="G11" s="3" t="s">
        <v>64</v>
      </c>
      <c r="H11" s="2">
        <v>42</v>
      </c>
      <c r="I11" s="6"/>
    </row>
    <row r="12">
      <c r="A12" s="3" t="s">
        <v>76</v>
      </c>
      <c r="B12" s="2">
        <v>134</v>
      </c>
      <c r="C12" s="2">
        <v>12</v>
      </c>
      <c r="D12" s="5">
        <v>46023.163888888892</v>
      </c>
      <c r="E12" s="2">
        <v>49</v>
      </c>
      <c r="F12" s="3" t="s">
        <v>66</v>
      </c>
      <c r="G12" s="3" t="s">
        <v>64</v>
      </c>
      <c r="H12" s="2">
        <v>74</v>
      </c>
      <c r="I12" s="6"/>
    </row>
    <row r="13">
      <c r="A13" s="3" t="s">
        <v>77</v>
      </c>
      <c r="B13" s="2">
        <v>306</v>
      </c>
      <c r="C13" s="2">
        <v>28</v>
      </c>
      <c r="D13" s="5">
        <v>46031.04583333333</v>
      </c>
      <c r="E13" s="2">
        <v>2999</v>
      </c>
      <c r="F13" s="3" t="s">
        <v>78</v>
      </c>
      <c r="G13" s="3" t="s">
        <v>79</v>
      </c>
      <c r="H13" s="2">
        <v>44</v>
      </c>
      <c r="I13" s="6"/>
    </row>
    <row r="14">
      <c r="A14" s="3" t="s">
        <v>80</v>
      </c>
      <c r="B14" s="2">
        <v>311</v>
      </c>
      <c r="C14" s="2">
        <v>33</v>
      </c>
      <c r="D14" s="5">
        <v>46046.435416666667</v>
      </c>
      <c r="E14" s="2">
        <v>49</v>
      </c>
      <c r="F14" s="3" t="s">
        <v>63</v>
      </c>
      <c r="G14" s="3" t="s">
        <v>64</v>
      </c>
      <c r="H14" s="2">
        <v>14</v>
      </c>
      <c r="I14" s="6"/>
    </row>
    <row r="15">
      <c r="A15" s="3" t="s">
        <v>81</v>
      </c>
      <c r="B15" s="2">
        <v>131</v>
      </c>
      <c r="C15" s="2">
        <v>3</v>
      </c>
      <c r="D15" s="5">
        <v>46035.758333333331</v>
      </c>
      <c r="E15" s="2">
        <v>49</v>
      </c>
      <c r="F15" s="3" t="s">
        <v>66</v>
      </c>
      <c r="G15" s="3" t="s">
        <v>64</v>
      </c>
      <c r="H15" s="2">
        <v>90</v>
      </c>
      <c r="I15" s="6"/>
    </row>
    <row r="16">
      <c r="A16" s="3" t="s">
        <v>82</v>
      </c>
      <c r="B16" s="2">
        <v>276</v>
      </c>
      <c r="C16" s="2">
        <v>13</v>
      </c>
      <c r="D16" s="5">
        <v>46036.022916666669</v>
      </c>
      <c r="E16" s="2">
        <v>1499</v>
      </c>
      <c r="F16" s="3" t="s">
        <v>66</v>
      </c>
      <c r="G16" s="3" t="s">
        <v>64</v>
      </c>
      <c r="H16" s="2">
        <v>46</v>
      </c>
      <c r="I16" s="6"/>
    </row>
    <row r="17">
      <c r="A17" s="3" t="s">
        <v>83</v>
      </c>
      <c r="B17" s="2">
        <v>170</v>
      </c>
      <c r="C17" s="2">
        <v>40</v>
      </c>
      <c r="D17" s="5">
        <v>46036.112500000003</v>
      </c>
      <c r="E17" s="2">
        <v>99</v>
      </c>
      <c r="F17" s="3" t="s">
        <v>66</v>
      </c>
      <c r="G17" s="3" t="s">
        <v>64</v>
      </c>
      <c r="H17" s="2">
        <v>40</v>
      </c>
      <c r="I17" s="6"/>
    </row>
    <row r="18">
      <c r="A18" s="3" t="s">
        <v>84</v>
      </c>
      <c r="B18" s="2">
        <v>154</v>
      </c>
      <c r="C18" s="2">
        <v>33</v>
      </c>
      <c r="D18" s="5">
        <v>46044.156944444447</v>
      </c>
      <c r="E18" s="2">
        <v>99</v>
      </c>
      <c r="F18" s="3" t="s">
        <v>69</v>
      </c>
      <c r="G18" s="3" t="s">
        <v>64</v>
      </c>
      <c r="H18" s="2">
        <v>39</v>
      </c>
      <c r="I18" s="6"/>
    </row>
    <row r="19">
      <c r="A19" s="3" t="s">
        <v>85</v>
      </c>
      <c r="B19" s="2">
        <v>207</v>
      </c>
      <c r="C19" s="2">
        <v>19</v>
      </c>
      <c r="D19" s="5">
        <v>46044.555555555555</v>
      </c>
      <c r="E19" s="2">
        <v>2999</v>
      </c>
      <c r="F19" s="3" t="s">
        <v>78</v>
      </c>
      <c r="G19" s="3" t="s">
        <v>64</v>
      </c>
      <c r="H19" s="2">
        <v>70</v>
      </c>
      <c r="I19" s="6"/>
    </row>
    <row r="20">
      <c r="A20" s="3" t="s">
        <v>86</v>
      </c>
      <c r="B20" s="2">
        <v>341</v>
      </c>
      <c r="C20" s="2">
        <v>25</v>
      </c>
      <c r="D20" s="5">
        <v>46027.268055555556</v>
      </c>
      <c r="E20" s="2">
        <v>2999</v>
      </c>
      <c r="F20" s="3" t="s">
        <v>66</v>
      </c>
      <c r="G20" s="3" t="s">
        <v>64</v>
      </c>
      <c r="H20" s="2">
        <v>86</v>
      </c>
      <c r="I20" s="6"/>
    </row>
    <row r="21">
      <c r="A21" s="3" t="s">
        <v>87</v>
      </c>
      <c r="B21" s="2">
        <v>292</v>
      </c>
      <c r="C21" s="2">
        <v>20</v>
      </c>
      <c r="D21" s="5">
        <v>46046.23541666667</v>
      </c>
      <c r="E21" s="2">
        <v>49</v>
      </c>
      <c r="F21" s="3" t="s">
        <v>66</v>
      </c>
      <c r="G21" s="3" t="s">
        <v>64</v>
      </c>
      <c r="H21" s="2">
        <v>51</v>
      </c>
      <c r="I21" s="6"/>
    </row>
    <row r="22">
      <c r="A22" s="3" t="s">
        <v>88</v>
      </c>
      <c r="B22" s="2">
        <v>147</v>
      </c>
      <c r="C22" s="2">
        <v>14</v>
      </c>
      <c r="D22" s="5">
        <v>46040.013194444444</v>
      </c>
      <c r="E22" s="2">
        <v>99</v>
      </c>
      <c r="F22" s="3" t="s">
        <v>78</v>
      </c>
      <c r="G22" s="3" t="s">
        <v>64</v>
      </c>
      <c r="H22" s="2">
        <v>55</v>
      </c>
      <c r="I22" s="6"/>
    </row>
    <row r="23">
      <c r="A23" s="3" t="s">
        <v>89</v>
      </c>
      <c r="B23" s="2">
        <v>336</v>
      </c>
      <c r="C23" s="2">
        <v>21</v>
      </c>
      <c r="D23" s="5">
        <v>46048.776388888888</v>
      </c>
      <c r="E23" s="2">
        <v>99</v>
      </c>
      <c r="F23" s="3" t="s">
        <v>66</v>
      </c>
      <c r="G23" s="3" t="s">
        <v>64</v>
      </c>
      <c r="H23" s="2">
        <v>59</v>
      </c>
      <c r="I23" s="6"/>
    </row>
    <row r="24">
      <c r="A24" s="3" t="s">
        <v>90</v>
      </c>
      <c r="B24" s="2">
        <v>110</v>
      </c>
      <c r="C24" s="2">
        <v>33</v>
      </c>
      <c r="D24" s="5">
        <v>46037.613194444442</v>
      </c>
      <c r="E24" s="2">
        <v>799</v>
      </c>
      <c r="F24" s="3" t="s">
        <v>66</v>
      </c>
      <c r="G24" s="3" t="s">
        <v>64</v>
      </c>
      <c r="H24" s="2">
        <v>60</v>
      </c>
      <c r="I24" s="6"/>
    </row>
    <row r="25">
      <c r="A25" s="3" t="s">
        <v>91</v>
      </c>
      <c r="B25" s="2">
        <v>338</v>
      </c>
      <c r="C25" s="2">
        <v>6</v>
      </c>
      <c r="D25" s="5">
        <v>46048.965277777781</v>
      </c>
      <c r="E25" s="2">
        <v>799</v>
      </c>
      <c r="F25" s="3" t="s">
        <v>66</v>
      </c>
      <c r="G25" s="3" t="s">
        <v>92</v>
      </c>
      <c r="H25" s="2">
        <v>36</v>
      </c>
      <c r="I25" s="6"/>
    </row>
    <row r="26">
      <c r="A26" s="3" t="s">
        <v>93</v>
      </c>
      <c r="B26" s="2">
        <v>318</v>
      </c>
      <c r="C26" s="2">
        <v>22</v>
      </c>
      <c r="D26" s="5">
        <v>46039.902777777781</v>
      </c>
      <c r="E26" s="2">
        <v>799</v>
      </c>
      <c r="F26" s="3" t="s">
        <v>63</v>
      </c>
      <c r="G26" s="3" t="s">
        <v>64</v>
      </c>
      <c r="H26" s="2">
        <v>11</v>
      </c>
      <c r="I26" s="6"/>
    </row>
    <row r="27">
      <c r="A27" s="3" t="s">
        <v>94</v>
      </c>
      <c r="B27" s="2">
        <v>159</v>
      </c>
      <c r="C27" s="2">
        <v>15</v>
      </c>
      <c r="D27" s="5">
        <v>46049.321527777778</v>
      </c>
      <c r="E27" s="2">
        <v>799</v>
      </c>
      <c r="F27" s="3" t="s">
        <v>66</v>
      </c>
      <c r="G27" s="3" t="s">
        <v>64</v>
      </c>
      <c r="H27" s="2">
        <v>25</v>
      </c>
      <c r="I27" s="6"/>
    </row>
    <row r="28">
      <c r="A28" s="3" t="s">
        <v>95</v>
      </c>
      <c r="B28" s="2">
        <v>126</v>
      </c>
      <c r="C28" s="2">
        <v>31</v>
      </c>
      <c r="D28" s="5">
        <v>46027.001388888886</v>
      </c>
      <c r="E28" s="2">
        <v>49</v>
      </c>
      <c r="F28" s="3" t="s">
        <v>78</v>
      </c>
      <c r="G28" s="3" t="s">
        <v>64</v>
      </c>
      <c r="H28" s="2">
        <v>78</v>
      </c>
      <c r="I28" s="6"/>
    </row>
    <row r="29">
      <c r="A29" s="3" t="s">
        <v>96</v>
      </c>
      <c r="B29" s="2">
        <v>213</v>
      </c>
      <c r="C29" s="2">
        <v>37</v>
      </c>
      <c r="D29" s="5">
        <v>46050.103472222225</v>
      </c>
      <c r="E29" s="2">
        <v>99</v>
      </c>
      <c r="F29" s="3" t="s">
        <v>66</v>
      </c>
      <c r="G29" s="3" t="s">
        <v>64</v>
      </c>
      <c r="H29" s="2">
        <v>24</v>
      </c>
      <c r="I29" s="6"/>
    </row>
    <row r="30">
      <c r="A30" s="3" t="s">
        <v>97</v>
      </c>
      <c r="B30" s="2">
        <v>254</v>
      </c>
      <c r="C30" s="2">
        <v>26</v>
      </c>
      <c r="D30" s="5">
        <v>46045.933333333334</v>
      </c>
      <c r="E30" s="2">
        <v>99</v>
      </c>
      <c r="F30" s="3" t="s">
        <v>63</v>
      </c>
      <c r="G30" s="3" t="s">
        <v>64</v>
      </c>
      <c r="H30" s="2">
        <v>31</v>
      </c>
      <c r="I30" s="6"/>
    </row>
    <row r="31">
      <c r="A31" s="3" t="s">
        <v>98</v>
      </c>
      <c r="B31" s="2">
        <v>3</v>
      </c>
      <c r="C31" s="2">
        <v>7</v>
      </c>
      <c r="D31" s="5">
        <v>46027.863888888889</v>
      </c>
      <c r="E31" s="2">
        <v>1499</v>
      </c>
      <c r="F31" s="3" t="s">
        <v>66</v>
      </c>
      <c r="G31" s="3" t="s">
        <v>64</v>
      </c>
      <c r="H31" s="2">
        <v>99</v>
      </c>
      <c r="I31" s="6"/>
    </row>
    <row r="32">
      <c r="A32" s="3" t="s">
        <v>99</v>
      </c>
      <c r="B32" s="2">
        <v>266</v>
      </c>
      <c r="C32" s="2">
        <v>30</v>
      </c>
      <c r="D32" s="5">
        <v>46036.299305555556</v>
      </c>
      <c r="E32" s="2">
        <v>499</v>
      </c>
      <c r="F32" s="3" t="s">
        <v>78</v>
      </c>
      <c r="G32" s="3" t="s">
        <v>64</v>
      </c>
      <c r="H32" s="2">
        <v>6</v>
      </c>
      <c r="I32" s="6"/>
    </row>
    <row r="33">
      <c r="A33" s="3" t="s">
        <v>100</v>
      </c>
      <c r="B33" s="2">
        <v>63</v>
      </c>
      <c r="C33" s="2">
        <v>30</v>
      </c>
      <c r="D33" s="5">
        <v>46040.331944444442</v>
      </c>
      <c r="E33" s="2">
        <v>799</v>
      </c>
      <c r="F33" s="3" t="s">
        <v>66</v>
      </c>
      <c r="G33" s="3" t="s">
        <v>64</v>
      </c>
      <c r="H33" s="2">
        <v>17</v>
      </c>
      <c r="I33" s="6"/>
    </row>
    <row r="34">
      <c r="A34" s="3" t="s">
        <v>101</v>
      </c>
      <c r="B34" s="2">
        <v>272</v>
      </c>
      <c r="C34" s="2">
        <v>36</v>
      </c>
      <c r="D34" s="5">
        <v>46048.612500000003</v>
      </c>
      <c r="E34" s="2">
        <v>149</v>
      </c>
      <c r="F34" s="3" t="s">
        <v>66</v>
      </c>
      <c r="G34" s="3" t="s">
        <v>64</v>
      </c>
      <c r="H34" s="2">
        <v>76</v>
      </c>
      <c r="I34" s="6"/>
    </row>
    <row r="35">
      <c r="A35" s="3" t="s">
        <v>102</v>
      </c>
      <c r="B35" s="2">
        <v>259</v>
      </c>
      <c r="C35" s="2">
        <v>28</v>
      </c>
      <c r="D35" s="5">
        <v>46033.61041666667</v>
      </c>
      <c r="E35" s="2">
        <v>49</v>
      </c>
      <c r="F35" s="3" t="s">
        <v>63</v>
      </c>
      <c r="G35" s="3" t="s">
        <v>64</v>
      </c>
      <c r="H35" s="2">
        <v>70</v>
      </c>
      <c r="I35" s="6"/>
    </row>
    <row r="36">
      <c r="A36" s="3" t="s">
        <v>103</v>
      </c>
      <c r="B36" s="2">
        <v>244</v>
      </c>
      <c r="C36" s="2">
        <v>29</v>
      </c>
      <c r="D36" s="5">
        <v>46037.240972222222</v>
      </c>
      <c r="E36" s="2">
        <v>299</v>
      </c>
      <c r="F36" s="3" t="s">
        <v>69</v>
      </c>
      <c r="G36" s="3" t="s">
        <v>64</v>
      </c>
      <c r="H36" s="2">
        <v>33</v>
      </c>
      <c r="I36" s="6"/>
    </row>
    <row r="37">
      <c r="A37" s="3" t="s">
        <v>104</v>
      </c>
      <c r="B37" s="2">
        <v>327</v>
      </c>
      <c r="C37" s="2">
        <v>18</v>
      </c>
      <c r="D37" s="5">
        <v>46047.328472222223</v>
      </c>
      <c r="E37" s="2">
        <v>149</v>
      </c>
      <c r="F37" s="3" t="s">
        <v>78</v>
      </c>
      <c r="G37" s="3" t="s">
        <v>64</v>
      </c>
      <c r="H37" s="2">
        <v>98</v>
      </c>
      <c r="I37" s="6"/>
    </row>
    <row r="38">
      <c r="A38" s="3" t="s">
        <v>105</v>
      </c>
      <c r="B38" s="2">
        <v>321</v>
      </c>
      <c r="C38" s="2">
        <v>16</v>
      </c>
      <c r="D38" s="5">
        <v>46047.688194444447</v>
      </c>
      <c r="E38" s="2">
        <v>49</v>
      </c>
      <c r="F38" s="3" t="s">
        <v>66</v>
      </c>
      <c r="G38" s="3" t="s">
        <v>64</v>
      </c>
      <c r="H38" s="2">
        <v>35</v>
      </c>
      <c r="I38" s="6"/>
    </row>
    <row r="39">
      <c r="A39" s="3" t="s">
        <v>106</v>
      </c>
      <c r="B39" s="2">
        <v>147</v>
      </c>
      <c r="C39" s="2">
        <v>16</v>
      </c>
      <c r="D39" s="5">
        <v>46037.114583333336</v>
      </c>
      <c r="E39" s="2">
        <v>2999</v>
      </c>
      <c r="F39" s="3" t="s">
        <v>78</v>
      </c>
      <c r="G39" s="3" t="s">
        <v>64</v>
      </c>
      <c r="H39" s="2">
        <v>34</v>
      </c>
      <c r="I39" s="6"/>
    </row>
    <row r="40">
      <c r="A40" s="3" t="s">
        <v>107</v>
      </c>
      <c r="B40" s="2">
        <v>277</v>
      </c>
      <c r="C40" s="2">
        <v>6</v>
      </c>
      <c r="D40" s="5">
        <v>46033.456250000003</v>
      </c>
      <c r="E40" s="2">
        <v>1499</v>
      </c>
      <c r="F40" s="3" t="s">
        <v>78</v>
      </c>
      <c r="G40" s="3" t="s">
        <v>64</v>
      </c>
      <c r="H40" s="2">
        <v>17</v>
      </c>
      <c r="I40" s="6"/>
    </row>
    <row r="41">
      <c r="A41" s="3" t="s">
        <v>108</v>
      </c>
      <c r="B41" s="2">
        <v>79</v>
      </c>
      <c r="C41" s="2">
        <v>14</v>
      </c>
      <c r="D41" s="5">
        <v>46027.308333333334</v>
      </c>
      <c r="E41" s="2">
        <v>1499</v>
      </c>
      <c r="F41" s="3" t="s">
        <v>66</v>
      </c>
      <c r="G41" s="3" t="s">
        <v>64</v>
      </c>
      <c r="H41" s="2">
        <v>8</v>
      </c>
      <c r="I41" s="6"/>
    </row>
    <row r="42">
      <c r="A42" s="3" t="s">
        <v>109</v>
      </c>
      <c r="B42" s="2">
        <v>278</v>
      </c>
      <c r="C42" s="2">
        <v>30</v>
      </c>
      <c r="D42" s="5">
        <v>46036.556250000001</v>
      </c>
      <c r="E42" s="2">
        <v>1499</v>
      </c>
      <c r="F42" s="3" t="s">
        <v>66</v>
      </c>
      <c r="G42" s="3" t="s">
        <v>64</v>
      </c>
      <c r="H42" s="2">
        <v>53</v>
      </c>
      <c r="I42" s="6"/>
    </row>
    <row r="43">
      <c r="A43" s="3" t="s">
        <v>110</v>
      </c>
      <c r="B43" s="2">
        <v>216</v>
      </c>
      <c r="C43" s="2">
        <v>25</v>
      </c>
      <c r="D43" s="5">
        <v>46024.286805555559</v>
      </c>
      <c r="E43" s="2">
        <v>99</v>
      </c>
      <c r="F43" s="3" t="s">
        <v>66</v>
      </c>
      <c r="G43" s="3" t="s">
        <v>64</v>
      </c>
      <c r="H43" s="2">
        <v>98</v>
      </c>
      <c r="I43" s="6"/>
    </row>
    <row r="44">
      <c r="A44" s="3" t="s">
        <v>111</v>
      </c>
      <c r="B44" s="2">
        <v>295</v>
      </c>
      <c r="C44" s="2">
        <v>25</v>
      </c>
      <c r="D44" s="5">
        <v>46041.917361111111</v>
      </c>
      <c r="E44" s="2">
        <v>1499</v>
      </c>
      <c r="F44" s="3" t="s">
        <v>66</v>
      </c>
      <c r="G44" s="3" t="s">
        <v>64</v>
      </c>
      <c r="H44" s="2">
        <v>61</v>
      </c>
      <c r="I44" s="6"/>
    </row>
    <row r="45">
      <c r="A45" s="3" t="s">
        <v>112</v>
      </c>
      <c r="B45" s="2">
        <v>200</v>
      </c>
      <c r="C45" s="2">
        <v>27</v>
      </c>
      <c r="D45" s="5">
        <v>46023.47152777778</v>
      </c>
      <c r="E45" s="2">
        <v>149</v>
      </c>
      <c r="F45" s="3" t="s">
        <v>66</v>
      </c>
      <c r="G45" s="3" t="s">
        <v>64</v>
      </c>
      <c r="H45" s="2">
        <v>68</v>
      </c>
      <c r="I45" s="6"/>
    </row>
    <row r="46">
      <c r="A46" s="3" t="s">
        <v>113</v>
      </c>
      <c r="B46" s="2">
        <v>309</v>
      </c>
      <c r="C46" s="2">
        <v>15</v>
      </c>
      <c r="D46" s="5">
        <v>46046.981944444444</v>
      </c>
      <c r="E46" s="2">
        <v>99</v>
      </c>
      <c r="F46" s="3" t="s">
        <v>69</v>
      </c>
      <c r="G46" s="3" t="s">
        <v>64</v>
      </c>
      <c r="H46" s="2">
        <v>62</v>
      </c>
      <c r="I46" s="6"/>
    </row>
    <row r="47">
      <c r="A47" s="3" t="s">
        <v>114</v>
      </c>
      <c r="B47" s="2">
        <v>249</v>
      </c>
      <c r="C47" s="2">
        <v>2</v>
      </c>
      <c r="D47" s="5">
        <v>46030.352083333331</v>
      </c>
      <c r="E47" s="2">
        <v>299</v>
      </c>
      <c r="F47" s="3" t="s">
        <v>63</v>
      </c>
      <c r="G47" s="3" t="s">
        <v>64</v>
      </c>
      <c r="H47" s="2">
        <v>49</v>
      </c>
      <c r="I47" s="6"/>
    </row>
    <row r="48">
      <c r="A48" s="3" t="s">
        <v>115</v>
      </c>
      <c r="B48" s="2">
        <v>208</v>
      </c>
      <c r="C48" s="2">
        <v>11</v>
      </c>
      <c r="D48" s="5">
        <v>46033.904861111114</v>
      </c>
      <c r="E48" s="2">
        <v>4999</v>
      </c>
      <c r="F48" s="3" t="s">
        <v>69</v>
      </c>
      <c r="G48" s="3" t="s">
        <v>64</v>
      </c>
      <c r="H48" s="2">
        <v>59</v>
      </c>
      <c r="I48" s="6"/>
    </row>
    <row r="49">
      <c r="A49" s="3" t="s">
        <v>116</v>
      </c>
      <c r="B49" s="2">
        <v>274</v>
      </c>
      <c r="C49" s="2">
        <v>2</v>
      </c>
      <c r="D49" s="5">
        <v>46052.193749999999</v>
      </c>
      <c r="E49" s="2">
        <v>299</v>
      </c>
      <c r="F49" s="3" t="s">
        <v>66</v>
      </c>
      <c r="G49" s="3" t="s">
        <v>64</v>
      </c>
      <c r="H49" s="2">
        <v>50</v>
      </c>
      <c r="I49" s="6"/>
    </row>
    <row r="50">
      <c r="A50" s="3" t="s">
        <v>117</v>
      </c>
      <c r="B50" s="2">
        <v>14</v>
      </c>
      <c r="C50" s="2">
        <v>6</v>
      </c>
      <c r="D50" s="5">
        <v>46041.779166666667</v>
      </c>
      <c r="E50" s="2">
        <v>49</v>
      </c>
      <c r="F50" s="3" t="s">
        <v>63</v>
      </c>
      <c r="G50" s="3" t="s">
        <v>64</v>
      </c>
      <c r="H50" s="2">
        <v>82</v>
      </c>
      <c r="I50" s="6"/>
    </row>
    <row r="51">
      <c r="A51" s="3" t="s">
        <v>118</v>
      </c>
      <c r="B51" s="2">
        <v>237</v>
      </c>
      <c r="C51" s="2">
        <v>12</v>
      </c>
      <c r="D51" s="5">
        <v>46036.204861111109</v>
      </c>
      <c r="E51" s="2">
        <v>49</v>
      </c>
      <c r="F51" s="3" t="s">
        <v>66</v>
      </c>
      <c r="G51" s="3" t="s">
        <v>64</v>
      </c>
      <c r="H51" s="2">
        <v>6</v>
      </c>
      <c r="I51" s="6"/>
    </row>
    <row r="52">
      <c r="A52" s="3" t="s">
        <v>119</v>
      </c>
      <c r="B52" s="2">
        <v>109</v>
      </c>
      <c r="C52" s="2">
        <v>30</v>
      </c>
      <c r="D52" s="5">
        <v>46031.513888888891</v>
      </c>
      <c r="E52" s="2">
        <v>99</v>
      </c>
      <c r="F52" s="3" t="s">
        <v>66</v>
      </c>
      <c r="G52" s="3" t="s">
        <v>64</v>
      </c>
      <c r="H52" s="2">
        <v>41</v>
      </c>
      <c r="I52" s="6"/>
    </row>
    <row r="53">
      <c r="A53" s="3" t="s">
        <v>120</v>
      </c>
      <c r="B53" s="2">
        <v>216</v>
      </c>
      <c r="C53" s="2">
        <v>17</v>
      </c>
      <c r="D53" s="5">
        <v>46033.511805555558</v>
      </c>
      <c r="E53" s="2">
        <v>4999</v>
      </c>
      <c r="F53" s="3" t="s">
        <v>66</v>
      </c>
      <c r="G53" s="3" t="s">
        <v>64</v>
      </c>
      <c r="H53" s="2">
        <v>10</v>
      </c>
      <c r="I53" s="6"/>
    </row>
    <row r="54">
      <c r="A54" s="3" t="s">
        <v>121</v>
      </c>
      <c r="B54" s="2">
        <v>277</v>
      </c>
      <c r="C54" s="2">
        <v>4</v>
      </c>
      <c r="D54" s="5">
        <v>46038.032638888886</v>
      </c>
      <c r="E54" s="2">
        <v>799</v>
      </c>
      <c r="F54" s="3" t="s">
        <v>66</v>
      </c>
      <c r="G54" s="3" t="s">
        <v>64</v>
      </c>
      <c r="H54" s="2">
        <v>44</v>
      </c>
      <c r="I54" s="6"/>
    </row>
    <row r="55">
      <c r="A55" s="3" t="s">
        <v>122</v>
      </c>
      <c r="B55" s="2">
        <v>334</v>
      </c>
      <c r="C55" s="2">
        <v>3</v>
      </c>
      <c r="D55" s="5">
        <v>46030.836111111108</v>
      </c>
      <c r="E55" s="2">
        <v>149</v>
      </c>
      <c r="F55" s="3" t="s">
        <v>63</v>
      </c>
      <c r="G55" s="3" t="s">
        <v>64</v>
      </c>
      <c r="H55" s="2">
        <v>96</v>
      </c>
      <c r="I55" s="6"/>
    </row>
    <row r="56">
      <c r="A56" s="3" t="s">
        <v>123</v>
      </c>
      <c r="B56" s="2">
        <v>11</v>
      </c>
      <c r="C56" s="2">
        <v>40</v>
      </c>
      <c r="D56" s="5">
        <v>46023.300000000003</v>
      </c>
      <c r="E56" s="2">
        <v>299</v>
      </c>
      <c r="F56" s="3" t="s">
        <v>66</v>
      </c>
      <c r="G56" s="3" t="s">
        <v>64</v>
      </c>
      <c r="H56" s="2">
        <v>19</v>
      </c>
      <c r="I56" s="6"/>
    </row>
    <row r="57">
      <c r="A57" s="3" t="s">
        <v>124</v>
      </c>
      <c r="B57" s="2">
        <v>343</v>
      </c>
      <c r="C57" s="2">
        <v>8</v>
      </c>
      <c r="D57" s="5">
        <v>46030.1875</v>
      </c>
      <c r="E57" s="2">
        <v>99</v>
      </c>
      <c r="F57" s="3" t="s">
        <v>66</v>
      </c>
      <c r="G57" s="3" t="s">
        <v>64</v>
      </c>
      <c r="H57" s="2">
        <v>72</v>
      </c>
      <c r="I57" s="6"/>
    </row>
    <row r="58">
      <c r="A58" s="3" t="s">
        <v>125</v>
      </c>
      <c r="B58" s="2">
        <v>132</v>
      </c>
      <c r="C58" s="2">
        <v>24</v>
      </c>
      <c r="D58" s="5">
        <v>46029.613888888889</v>
      </c>
      <c r="E58" s="2">
        <v>299</v>
      </c>
      <c r="F58" s="3" t="s">
        <v>63</v>
      </c>
      <c r="G58" s="3" t="s">
        <v>64</v>
      </c>
      <c r="H58" s="2">
        <v>21</v>
      </c>
      <c r="I58" s="6"/>
    </row>
    <row r="59">
      <c r="A59" s="3" t="s">
        <v>126</v>
      </c>
      <c r="B59" s="2">
        <v>59</v>
      </c>
      <c r="C59" s="2">
        <v>11</v>
      </c>
      <c r="D59" s="5">
        <v>46042.824305555558</v>
      </c>
      <c r="E59" s="2">
        <v>299</v>
      </c>
      <c r="F59" s="3" t="s">
        <v>66</v>
      </c>
      <c r="G59" s="3" t="s">
        <v>64</v>
      </c>
      <c r="H59" s="2">
        <v>39</v>
      </c>
      <c r="I59" s="6"/>
    </row>
    <row r="60">
      <c r="A60" s="3" t="s">
        <v>127</v>
      </c>
      <c r="B60" s="2">
        <v>160</v>
      </c>
      <c r="C60" s="2">
        <v>37</v>
      </c>
      <c r="D60" s="5">
        <v>46026.750694444447</v>
      </c>
      <c r="E60" s="2">
        <v>49</v>
      </c>
      <c r="F60" s="3" t="s">
        <v>63</v>
      </c>
      <c r="G60" s="3" t="s">
        <v>64</v>
      </c>
      <c r="H60" s="2">
        <v>86</v>
      </c>
      <c r="I60" s="6"/>
    </row>
    <row r="61">
      <c r="A61" s="3" t="s">
        <v>128</v>
      </c>
      <c r="B61" s="2">
        <v>102</v>
      </c>
      <c r="C61" s="2">
        <v>5</v>
      </c>
      <c r="D61" s="5">
        <v>46052.517361111109</v>
      </c>
      <c r="E61" s="2">
        <v>2999</v>
      </c>
      <c r="F61" s="3" t="s">
        <v>66</v>
      </c>
      <c r="G61" s="3" t="s">
        <v>64</v>
      </c>
      <c r="H61" s="2">
        <v>75</v>
      </c>
      <c r="I61" s="6"/>
    </row>
    <row r="62">
      <c r="A62" s="3" t="s">
        <v>129</v>
      </c>
      <c r="B62" s="2">
        <v>53</v>
      </c>
      <c r="C62" s="2">
        <v>20</v>
      </c>
      <c r="D62" s="5">
        <v>46045.84375</v>
      </c>
      <c r="E62" s="2">
        <v>49</v>
      </c>
      <c r="F62" s="3" t="s">
        <v>69</v>
      </c>
      <c r="G62" s="3" t="s">
        <v>64</v>
      </c>
      <c r="H62" s="2">
        <v>87</v>
      </c>
      <c r="I62" s="6"/>
    </row>
    <row r="63">
      <c r="A63" s="3" t="s">
        <v>130</v>
      </c>
      <c r="B63" s="2">
        <v>290</v>
      </c>
      <c r="C63" s="2">
        <v>3</v>
      </c>
      <c r="D63" s="5">
        <v>46042.159722222219</v>
      </c>
      <c r="E63" s="2">
        <v>99</v>
      </c>
      <c r="F63" s="3" t="s">
        <v>63</v>
      </c>
      <c r="G63" s="3" t="s">
        <v>64</v>
      </c>
      <c r="H63" s="2">
        <v>44</v>
      </c>
      <c r="I63" s="6"/>
    </row>
    <row r="64">
      <c r="A64" s="3" t="s">
        <v>131</v>
      </c>
      <c r="B64" s="2">
        <v>190</v>
      </c>
      <c r="C64" s="2">
        <v>5</v>
      </c>
      <c r="D64" s="5">
        <v>46040.570833333331</v>
      </c>
      <c r="E64" s="2">
        <v>299</v>
      </c>
      <c r="F64" s="3" t="s">
        <v>66</v>
      </c>
      <c r="G64" s="3" t="s">
        <v>64</v>
      </c>
      <c r="H64" s="2">
        <v>64</v>
      </c>
      <c r="I64" s="6"/>
    </row>
    <row r="65">
      <c r="A65" s="3" t="s">
        <v>132</v>
      </c>
      <c r="B65" s="2">
        <v>216</v>
      </c>
      <c r="C65" s="2">
        <v>32</v>
      </c>
      <c r="D65" s="5">
        <v>46043.416666666664</v>
      </c>
      <c r="E65" s="2">
        <v>49</v>
      </c>
      <c r="F65" s="3" t="s">
        <v>78</v>
      </c>
      <c r="G65" s="3" t="s">
        <v>64</v>
      </c>
      <c r="H65" s="2">
        <v>13</v>
      </c>
      <c r="I65" s="6"/>
    </row>
    <row r="66">
      <c r="A66" s="3" t="s">
        <v>133</v>
      </c>
      <c r="B66" s="2">
        <v>236</v>
      </c>
      <c r="C66" s="2">
        <v>10</v>
      </c>
      <c r="D66" s="5">
        <v>46036.486111111109</v>
      </c>
      <c r="E66" s="2">
        <v>499</v>
      </c>
      <c r="F66" s="3" t="s">
        <v>66</v>
      </c>
      <c r="G66" s="3" t="s">
        <v>64</v>
      </c>
      <c r="H66" s="2">
        <v>55</v>
      </c>
      <c r="I66" s="6"/>
    </row>
    <row r="67">
      <c r="A67" s="3" t="s">
        <v>134</v>
      </c>
      <c r="B67" s="2">
        <v>334</v>
      </c>
      <c r="C67" s="2">
        <v>18</v>
      </c>
      <c r="D67" s="5">
        <v>46028.981249999997</v>
      </c>
      <c r="E67" s="2">
        <v>499</v>
      </c>
      <c r="F67" s="3" t="s">
        <v>78</v>
      </c>
      <c r="G67" s="3" t="s">
        <v>64</v>
      </c>
      <c r="H67" s="2">
        <v>78</v>
      </c>
      <c r="I67" s="6"/>
    </row>
    <row r="68">
      <c r="A68" s="3" t="s">
        <v>135</v>
      </c>
      <c r="B68" s="2">
        <v>248</v>
      </c>
      <c r="C68" s="2">
        <v>30</v>
      </c>
      <c r="D68" s="5">
        <v>46048.742361111108</v>
      </c>
      <c r="E68" s="2">
        <v>799</v>
      </c>
      <c r="F68" s="3" t="s">
        <v>63</v>
      </c>
      <c r="G68" s="3" t="s">
        <v>64</v>
      </c>
      <c r="H68" s="2">
        <v>55</v>
      </c>
      <c r="I68" s="6"/>
    </row>
    <row r="69">
      <c r="A69" s="3" t="s">
        <v>136</v>
      </c>
      <c r="B69" s="2">
        <v>138</v>
      </c>
      <c r="C69" s="2">
        <v>21</v>
      </c>
      <c r="D69" s="5">
        <v>46049.984027777777</v>
      </c>
      <c r="E69" s="2">
        <v>49</v>
      </c>
      <c r="F69" s="3" t="s">
        <v>78</v>
      </c>
      <c r="G69" s="3" t="s">
        <v>64</v>
      </c>
      <c r="H69" s="2">
        <v>31</v>
      </c>
      <c r="I69" s="6"/>
    </row>
    <row r="70">
      <c r="A70" s="3" t="s">
        <v>137</v>
      </c>
      <c r="B70" s="2">
        <v>231</v>
      </c>
      <c r="C70" s="2">
        <v>16</v>
      </c>
      <c r="D70" s="5">
        <v>46049.095138888886</v>
      </c>
      <c r="E70" s="2">
        <v>49</v>
      </c>
      <c r="F70" s="3" t="s">
        <v>66</v>
      </c>
      <c r="G70" s="3" t="s">
        <v>64</v>
      </c>
      <c r="H70" s="2">
        <v>96</v>
      </c>
      <c r="I70" s="6"/>
    </row>
    <row r="71">
      <c r="A71" s="3" t="s">
        <v>138</v>
      </c>
      <c r="B71" s="2">
        <v>343</v>
      </c>
      <c r="C71" s="2">
        <v>25</v>
      </c>
      <c r="D71" s="5">
        <v>46037.777083333334</v>
      </c>
      <c r="E71" s="2">
        <v>49</v>
      </c>
      <c r="F71" s="3" t="s">
        <v>66</v>
      </c>
      <c r="G71" s="3" t="s">
        <v>64</v>
      </c>
      <c r="H71" s="2">
        <v>43</v>
      </c>
      <c r="I71" s="6"/>
    </row>
    <row r="72">
      <c r="A72" s="3" t="s">
        <v>139</v>
      </c>
      <c r="B72" s="2">
        <v>167</v>
      </c>
      <c r="C72" s="2">
        <v>12</v>
      </c>
      <c r="D72" s="5">
        <v>46023.662499999999</v>
      </c>
      <c r="E72" s="2">
        <v>499</v>
      </c>
      <c r="F72" s="3" t="s">
        <v>63</v>
      </c>
      <c r="G72" s="3" t="s">
        <v>64</v>
      </c>
      <c r="H72" s="2">
        <v>62</v>
      </c>
      <c r="I72" s="6"/>
    </row>
    <row r="73">
      <c r="A73" s="3" t="s">
        <v>140</v>
      </c>
      <c r="B73" s="2">
        <v>133</v>
      </c>
      <c r="C73" s="2">
        <v>22</v>
      </c>
      <c r="D73" s="5">
        <v>46029.493750000001</v>
      </c>
      <c r="E73" s="2">
        <v>499</v>
      </c>
      <c r="F73" s="3" t="s">
        <v>66</v>
      </c>
      <c r="G73" s="3" t="s">
        <v>64</v>
      </c>
      <c r="H73" s="2">
        <v>35</v>
      </c>
      <c r="I73" s="6"/>
    </row>
    <row r="74">
      <c r="A74" s="3" t="s">
        <v>141</v>
      </c>
      <c r="B74" s="2">
        <v>142</v>
      </c>
      <c r="C74" s="2">
        <v>36</v>
      </c>
      <c r="D74" s="5">
        <v>46051.822222222225</v>
      </c>
      <c r="E74" s="2">
        <v>799</v>
      </c>
      <c r="F74" s="3" t="s">
        <v>63</v>
      </c>
      <c r="G74" s="3" t="s">
        <v>64</v>
      </c>
      <c r="H74" s="2">
        <v>1</v>
      </c>
      <c r="I74" s="6"/>
    </row>
    <row r="75">
      <c r="A75" s="3" t="s">
        <v>142</v>
      </c>
      <c r="B75" s="2">
        <v>124</v>
      </c>
      <c r="C75" s="2">
        <v>27</v>
      </c>
      <c r="D75" s="5">
        <v>46039.253472222219</v>
      </c>
      <c r="E75" s="2">
        <v>499</v>
      </c>
      <c r="F75" s="3" t="s">
        <v>63</v>
      </c>
      <c r="G75" s="3" t="s">
        <v>64</v>
      </c>
      <c r="H75" s="2">
        <v>62</v>
      </c>
      <c r="I75" s="6"/>
    </row>
    <row r="76">
      <c r="A76" s="3" t="s">
        <v>143</v>
      </c>
      <c r="B76" s="2">
        <v>244</v>
      </c>
      <c r="C76" s="2">
        <v>32</v>
      </c>
      <c r="D76" s="5">
        <v>46040.322222222225</v>
      </c>
      <c r="E76" s="2">
        <v>149</v>
      </c>
      <c r="F76" s="3" t="s">
        <v>66</v>
      </c>
      <c r="G76" s="3" t="s">
        <v>64</v>
      </c>
      <c r="H76" s="2">
        <v>57</v>
      </c>
      <c r="I76" s="6"/>
    </row>
    <row r="77">
      <c r="A77" s="3" t="s">
        <v>144</v>
      </c>
      <c r="B77" s="2">
        <v>151</v>
      </c>
      <c r="C77" s="2">
        <v>15</v>
      </c>
      <c r="D77" s="5">
        <v>46048.003472222219</v>
      </c>
      <c r="E77" s="2">
        <v>4999</v>
      </c>
      <c r="F77" s="3" t="s">
        <v>66</v>
      </c>
      <c r="G77" s="3" t="s">
        <v>64</v>
      </c>
      <c r="H77" s="2">
        <v>51</v>
      </c>
      <c r="I77" s="6"/>
    </row>
    <row r="78">
      <c r="A78" s="3" t="s">
        <v>145</v>
      </c>
      <c r="B78" s="2">
        <v>340</v>
      </c>
      <c r="C78" s="2">
        <v>38</v>
      </c>
      <c r="D78" s="5">
        <v>46045.304861111108</v>
      </c>
      <c r="E78" s="2">
        <v>499</v>
      </c>
      <c r="F78" s="3" t="s">
        <v>78</v>
      </c>
      <c r="G78" s="3" t="s">
        <v>64</v>
      </c>
      <c r="H78" s="2">
        <v>47</v>
      </c>
      <c r="I78" s="6"/>
    </row>
    <row r="79">
      <c r="A79" s="3" t="s">
        <v>146</v>
      </c>
      <c r="B79" s="2">
        <v>177</v>
      </c>
      <c r="C79" s="2">
        <v>28</v>
      </c>
      <c r="D79" s="5">
        <v>46038.731249999997</v>
      </c>
      <c r="E79" s="2">
        <v>299</v>
      </c>
      <c r="F79" s="3" t="s">
        <v>66</v>
      </c>
      <c r="G79" s="3" t="s">
        <v>64</v>
      </c>
      <c r="H79" s="2">
        <v>95</v>
      </c>
      <c r="I79" s="6"/>
    </row>
    <row r="80">
      <c r="A80" s="3" t="s">
        <v>147</v>
      </c>
      <c r="B80" s="2">
        <v>233</v>
      </c>
      <c r="C80" s="2">
        <v>18</v>
      </c>
      <c r="D80" s="5">
        <v>46040.431944444441</v>
      </c>
      <c r="E80" s="2">
        <v>499</v>
      </c>
      <c r="F80" s="3" t="s">
        <v>66</v>
      </c>
      <c r="G80" s="3" t="s">
        <v>64</v>
      </c>
      <c r="H80" s="2">
        <v>39</v>
      </c>
      <c r="I80" s="6"/>
    </row>
    <row r="81">
      <c r="A81" s="3" t="s">
        <v>148</v>
      </c>
      <c r="B81" s="2">
        <v>99</v>
      </c>
      <c r="C81" s="2">
        <v>21</v>
      </c>
      <c r="D81" s="5">
        <v>46031.296527777777</v>
      </c>
      <c r="E81" s="2">
        <v>499</v>
      </c>
      <c r="F81" s="3" t="s">
        <v>66</v>
      </c>
      <c r="G81" s="3" t="s">
        <v>64</v>
      </c>
      <c r="H81" s="2">
        <v>15</v>
      </c>
      <c r="I81" s="6"/>
    </row>
    <row r="82">
      <c r="A82" s="3" t="s">
        <v>149</v>
      </c>
      <c r="B82" s="2">
        <v>95</v>
      </c>
      <c r="C82" s="2">
        <v>13</v>
      </c>
      <c r="D82" s="5">
        <v>46046.741666666669</v>
      </c>
      <c r="E82" s="2">
        <v>2999</v>
      </c>
      <c r="F82" s="3" t="s">
        <v>69</v>
      </c>
      <c r="G82" s="3" t="s">
        <v>79</v>
      </c>
      <c r="H82" s="2">
        <v>27</v>
      </c>
      <c r="I82" s="6"/>
    </row>
    <row r="83">
      <c r="A83" s="3" t="s">
        <v>150</v>
      </c>
      <c r="B83" s="2">
        <v>302</v>
      </c>
      <c r="C83" s="2">
        <v>34</v>
      </c>
      <c r="D83" s="5">
        <v>46046.636805555558</v>
      </c>
      <c r="E83" s="2">
        <v>49</v>
      </c>
      <c r="F83" s="3" t="s">
        <v>69</v>
      </c>
      <c r="G83" s="3" t="s">
        <v>64</v>
      </c>
      <c r="H83" s="2">
        <v>76</v>
      </c>
      <c r="I83" s="6"/>
    </row>
    <row r="84">
      <c r="A84" s="3" t="s">
        <v>151</v>
      </c>
      <c r="B84" s="2">
        <v>100</v>
      </c>
      <c r="C84" s="2">
        <v>19</v>
      </c>
      <c r="D84" s="5">
        <v>46032.161805555559</v>
      </c>
      <c r="E84" s="2">
        <v>2999</v>
      </c>
      <c r="F84" s="3" t="s">
        <v>69</v>
      </c>
      <c r="G84" s="3" t="s">
        <v>64</v>
      </c>
      <c r="H84" s="2">
        <v>29</v>
      </c>
      <c r="I84" s="6"/>
    </row>
    <row r="85">
      <c r="A85" s="3" t="s">
        <v>152</v>
      </c>
      <c r="B85" s="2">
        <v>8</v>
      </c>
      <c r="C85" s="2">
        <v>35</v>
      </c>
      <c r="D85" s="5">
        <v>46034.22152777778</v>
      </c>
      <c r="E85" s="2">
        <v>99</v>
      </c>
      <c r="F85" s="3" t="s">
        <v>66</v>
      </c>
      <c r="G85" s="3" t="s">
        <v>64</v>
      </c>
      <c r="H85" s="2">
        <v>16</v>
      </c>
      <c r="I85" s="6"/>
    </row>
    <row r="86">
      <c r="A86" s="3" t="s">
        <v>153</v>
      </c>
      <c r="B86" s="2">
        <v>284</v>
      </c>
      <c r="C86" s="2">
        <v>19</v>
      </c>
      <c r="D86" s="5">
        <v>46031.043749999997</v>
      </c>
      <c r="E86" s="2">
        <v>99</v>
      </c>
      <c r="F86" s="3" t="s">
        <v>66</v>
      </c>
      <c r="G86" s="3" t="s">
        <v>64</v>
      </c>
      <c r="H86" s="2">
        <v>89</v>
      </c>
      <c r="I86" s="6"/>
    </row>
    <row r="87">
      <c r="A87" s="3" t="s">
        <v>154</v>
      </c>
      <c r="B87" s="2">
        <v>252</v>
      </c>
      <c r="C87" s="2">
        <v>7</v>
      </c>
      <c r="D87" s="5">
        <v>46027.871527777781</v>
      </c>
      <c r="E87" s="2">
        <v>2999</v>
      </c>
      <c r="F87" s="3" t="s">
        <v>63</v>
      </c>
      <c r="G87" s="3" t="s">
        <v>64</v>
      </c>
      <c r="H87" s="2">
        <v>1</v>
      </c>
      <c r="I87" s="6"/>
    </row>
    <row r="88">
      <c r="A88" s="3" t="s">
        <v>155</v>
      </c>
      <c r="B88" s="2">
        <v>246</v>
      </c>
      <c r="C88" s="2">
        <v>29</v>
      </c>
      <c r="D88" s="5">
        <v>46041.395833333336</v>
      </c>
      <c r="E88" s="2">
        <v>49</v>
      </c>
      <c r="F88" s="3" t="s">
        <v>63</v>
      </c>
      <c r="G88" s="3" t="s">
        <v>64</v>
      </c>
      <c r="H88" s="2">
        <v>43</v>
      </c>
      <c r="I88" s="6"/>
    </row>
    <row r="89">
      <c r="A89" s="3" t="s">
        <v>156</v>
      </c>
      <c r="B89" s="2">
        <v>245</v>
      </c>
      <c r="C89" s="2">
        <v>8</v>
      </c>
      <c r="D89" s="5">
        <v>46028.052777777775</v>
      </c>
      <c r="E89" s="2">
        <v>49</v>
      </c>
      <c r="F89" s="3" t="s">
        <v>66</v>
      </c>
      <c r="G89" s="3" t="s">
        <v>92</v>
      </c>
      <c r="H89" s="2">
        <v>8</v>
      </c>
      <c r="I89" s="6"/>
    </row>
    <row r="90">
      <c r="A90" s="3" t="s">
        <v>157</v>
      </c>
      <c r="B90" s="2">
        <v>296</v>
      </c>
      <c r="C90" s="2">
        <v>4</v>
      </c>
      <c r="D90" s="5">
        <v>46035.62777777778</v>
      </c>
      <c r="E90" s="2">
        <v>799</v>
      </c>
      <c r="F90" s="3" t="s">
        <v>63</v>
      </c>
      <c r="G90" s="3" t="s">
        <v>64</v>
      </c>
      <c r="H90" s="2">
        <v>19</v>
      </c>
      <c r="I90" s="6"/>
    </row>
    <row r="91">
      <c r="A91" s="3" t="s">
        <v>158</v>
      </c>
      <c r="B91" s="2">
        <v>44</v>
      </c>
      <c r="C91" s="2">
        <v>16</v>
      </c>
      <c r="D91" s="5">
        <v>46027.763194444444</v>
      </c>
      <c r="E91" s="2">
        <v>149</v>
      </c>
      <c r="F91" s="3" t="s">
        <v>66</v>
      </c>
      <c r="G91" s="3" t="s">
        <v>64</v>
      </c>
      <c r="H91" s="2">
        <v>15</v>
      </c>
      <c r="I91" s="6"/>
    </row>
    <row r="92">
      <c r="A92" s="3" t="s">
        <v>159</v>
      </c>
      <c r="B92" s="2">
        <v>306</v>
      </c>
      <c r="C92" s="2">
        <v>40</v>
      </c>
      <c r="D92" s="5">
        <v>46040.568055555559</v>
      </c>
      <c r="E92" s="2">
        <v>799</v>
      </c>
      <c r="F92" s="3" t="s">
        <v>78</v>
      </c>
      <c r="G92" s="3" t="s">
        <v>64</v>
      </c>
      <c r="H92" s="2">
        <v>28</v>
      </c>
      <c r="I92" s="6"/>
    </row>
    <row r="93">
      <c r="A93" s="3" t="s">
        <v>160</v>
      </c>
      <c r="B93" s="2">
        <v>231</v>
      </c>
      <c r="C93" s="2">
        <v>29</v>
      </c>
      <c r="D93" s="5">
        <v>46047.683333333334</v>
      </c>
      <c r="E93" s="2">
        <v>299</v>
      </c>
      <c r="F93" s="3" t="s">
        <v>66</v>
      </c>
      <c r="G93" s="3" t="s">
        <v>64</v>
      </c>
      <c r="H93" s="2">
        <v>38</v>
      </c>
      <c r="I93" s="6"/>
    </row>
    <row r="94">
      <c r="A94" s="3" t="s">
        <v>161</v>
      </c>
      <c r="B94" s="2">
        <v>157</v>
      </c>
      <c r="C94" s="2">
        <v>37</v>
      </c>
      <c r="D94" s="5">
        <v>46050.768750000003</v>
      </c>
      <c r="E94" s="2">
        <v>499</v>
      </c>
      <c r="F94" s="3" t="s">
        <v>63</v>
      </c>
      <c r="G94" s="3" t="s">
        <v>64</v>
      </c>
      <c r="H94" s="2">
        <v>79</v>
      </c>
      <c r="I94" s="6"/>
    </row>
    <row r="95">
      <c r="A95" s="3" t="s">
        <v>162</v>
      </c>
      <c r="B95" s="2">
        <v>51</v>
      </c>
      <c r="C95" s="2">
        <v>14</v>
      </c>
      <c r="D95" s="5">
        <v>46024.824305555558</v>
      </c>
      <c r="E95" s="2">
        <v>1499</v>
      </c>
      <c r="F95" s="3" t="s">
        <v>66</v>
      </c>
      <c r="G95" s="3" t="s">
        <v>64</v>
      </c>
      <c r="H95" s="2">
        <v>80</v>
      </c>
      <c r="I95" s="6"/>
    </row>
    <row r="96">
      <c r="A96" s="3" t="s">
        <v>163</v>
      </c>
      <c r="B96" s="2">
        <v>42</v>
      </c>
      <c r="C96" s="2">
        <v>11</v>
      </c>
      <c r="D96" s="5">
        <v>46029.362500000003</v>
      </c>
      <c r="E96" s="2">
        <v>49</v>
      </c>
      <c r="F96" s="3" t="s">
        <v>63</v>
      </c>
      <c r="G96" s="3" t="s">
        <v>64</v>
      </c>
      <c r="H96" s="2">
        <v>30</v>
      </c>
      <c r="I96" s="6"/>
    </row>
    <row r="97">
      <c r="A97" s="3" t="s">
        <v>164</v>
      </c>
      <c r="B97" s="2">
        <v>81</v>
      </c>
      <c r="C97" s="2">
        <v>1</v>
      </c>
      <c r="D97" s="5">
        <v>46028.711111111108</v>
      </c>
      <c r="E97" s="2">
        <v>149</v>
      </c>
      <c r="F97" s="3" t="s">
        <v>66</v>
      </c>
      <c r="G97" s="3" t="s">
        <v>64</v>
      </c>
      <c r="H97" s="2">
        <v>52</v>
      </c>
      <c r="I97" s="6"/>
    </row>
    <row r="98">
      <c r="A98" s="3" t="s">
        <v>165</v>
      </c>
      <c r="B98" s="2">
        <v>241</v>
      </c>
      <c r="C98" s="2">
        <v>19</v>
      </c>
      <c r="D98" s="5">
        <v>46037.943055555559</v>
      </c>
      <c r="E98" s="2">
        <v>299</v>
      </c>
      <c r="F98" s="3" t="s">
        <v>66</v>
      </c>
      <c r="G98" s="3" t="s">
        <v>64</v>
      </c>
      <c r="H98" s="2">
        <v>4</v>
      </c>
      <c r="I98" s="6"/>
    </row>
    <row r="99">
      <c r="A99" s="3" t="s">
        <v>166</v>
      </c>
      <c r="B99" s="2">
        <v>145</v>
      </c>
      <c r="C99" s="2">
        <v>30</v>
      </c>
      <c r="D99" s="5">
        <v>46030.40625</v>
      </c>
      <c r="E99" s="2">
        <v>799</v>
      </c>
      <c r="F99" s="3" t="s">
        <v>66</v>
      </c>
      <c r="G99" s="3" t="s">
        <v>64</v>
      </c>
      <c r="H99" s="2">
        <v>9</v>
      </c>
      <c r="I99" s="6"/>
    </row>
    <row r="100">
      <c r="A100" s="3" t="s">
        <v>167</v>
      </c>
      <c r="B100" s="2">
        <v>136</v>
      </c>
      <c r="C100" s="2">
        <v>38</v>
      </c>
      <c r="D100" s="5">
        <v>46044.332638888889</v>
      </c>
      <c r="E100" s="2">
        <v>299</v>
      </c>
      <c r="F100" s="3" t="s">
        <v>78</v>
      </c>
      <c r="G100" s="3" t="s">
        <v>64</v>
      </c>
      <c r="H100" s="2">
        <v>84</v>
      </c>
      <c r="I100" s="6"/>
    </row>
    <row r="101">
      <c r="A101" s="3" t="s">
        <v>168</v>
      </c>
      <c r="B101" s="2">
        <v>59</v>
      </c>
      <c r="C101" s="2">
        <v>35</v>
      </c>
      <c r="D101" s="5">
        <v>46048.268750000003</v>
      </c>
      <c r="E101" s="2">
        <v>499</v>
      </c>
      <c r="F101" s="3" t="s">
        <v>66</v>
      </c>
      <c r="G101" s="3" t="s">
        <v>64</v>
      </c>
      <c r="H101" s="2">
        <v>28</v>
      </c>
      <c r="I101" s="6"/>
    </row>
    <row r="102">
      <c r="A102" s="3" t="s">
        <v>169</v>
      </c>
      <c r="B102" s="2">
        <v>137</v>
      </c>
      <c r="C102" s="2">
        <v>10</v>
      </c>
      <c r="D102" s="5">
        <v>46043.206944444442</v>
      </c>
      <c r="E102" s="2">
        <v>299</v>
      </c>
      <c r="F102" s="3" t="s">
        <v>66</v>
      </c>
      <c r="G102" s="3" t="s">
        <v>64</v>
      </c>
      <c r="H102" s="2">
        <v>9</v>
      </c>
      <c r="I102" s="6"/>
    </row>
    <row r="103">
      <c r="A103" s="3" t="s">
        <v>170</v>
      </c>
      <c r="B103" s="2">
        <v>158</v>
      </c>
      <c r="C103" s="2">
        <v>39</v>
      </c>
      <c r="D103" s="5">
        <v>46024.243055555555</v>
      </c>
      <c r="E103" s="2">
        <v>499</v>
      </c>
      <c r="F103" s="3" t="s">
        <v>69</v>
      </c>
      <c r="G103" s="3" t="s">
        <v>64</v>
      </c>
      <c r="H103" s="2">
        <v>95</v>
      </c>
      <c r="I103" s="6"/>
    </row>
    <row r="104">
      <c r="A104" s="3" t="s">
        <v>171</v>
      </c>
      <c r="B104" s="2">
        <v>148</v>
      </c>
      <c r="C104" s="2">
        <v>29</v>
      </c>
      <c r="D104" s="5">
        <v>46049.790277777778</v>
      </c>
      <c r="E104" s="2">
        <v>99</v>
      </c>
      <c r="F104" s="3" t="s">
        <v>78</v>
      </c>
      <c r="G104" s="3" t="s">
        <v>64</v>
      </c>
      <c r="H104" s="2">
        <v>15</v>
      </c>
      <c r="I104" s="6"/>
    </row>
    <row r="105">
      <c r="A105" s="3" t="s">
        <v>172</v>
      </c>
      <c r="B105" s="2">
        <v>207</v>
      </c>
      <c r="C105" s="2">
        <v>18</v>
      </c>
      <c r="D105" s="5">
        <v>46037.929861111108</v>
      </c>
      <c r="E105" s="2">
        <v>149</v>
      </c>
      <c r="F105" s="3" t="s">
        <v>66</v>
      </c>
      <c r="G105" s="3" t="s">
        <v>64</v>
      </c>
      <c r="H105" s="2">
        <v>64</v>
      </c>
      <c r="I105" s="6"/>
    </row>
    <row r="106">
      <c r="A106" s="3" t="s">
        <v>173</v>
      </c>
      <c r="B106" s="2">
        <v>42</v>
      </c>
      <c r="C106" s="2">
        <v>39</v>
      </c>
      <c r="D106" s="5">
        <v>46040.644444444442</v>
      </c>
      <c r="E106" s="2">
        <v>2999</v>
      </c>
      <c r="F106" s="3" t="s">
        <v>78</v>
      </c>
      <c r="G106" s="3" t="s">
        <v>64</v>
      </c>
      <c r="H106" s="2">
        <v>5</v>
      </c>
      <c r="I106" s="6"/>
    </row>
    <row r="107">
      <c r="A107" s="3" t="s">
        <v>174</v>
      </c>
      <c r="B107" s="2">
        <v>166</v>
      </c>
      <c r="C107" s="2">
        <v>39</v>
      </c>
      <c r="D107" s="5">
        <v>46051.574305555558</v>
      </c>
      <c r="E107" s="2">
        <v>149</v>
      </c>
      <c r="F107" s="3" t="s">
        <v>66</v>
      </c>
      <c r="G107" s="3" t="s">
        <v>64</v>
      </c>
      <c r="H107" s="2">
        <v>32</v>
      </c>
      <c r="I107" s="6"/>
    </row>
    <row r="108">
      <c r="A108" s="3" t="s">
        <v>175</v>
      </c>
      <c r="B108" s="2">
        <v>346</v>
      </c>
      <c r="C108" s="2">
        <v>37</v>
      </c>
      <c r="D108" s="5">
        <v>46023.093055555553</v>
      </c>
      <c r="E108" s="2">
        <v>99</v>
      </c>
      <c r="F108" s="3" t="s">
        <v>66</v>
      </c>
      <c r="G108" s="3" t="s">
        <v>64</v>
      </c>
      <c r="H108" s="2">
        <v>75</v>
      </c>
      <c r="I108" s="6"/>
    </row>
    <row r="109">
      <c r="A109" s="3" t="s">
        <v>176</v>
      </c>
      <c r="B109" s="2">
        <v>138</v>
      </c>
      <c r="C109" s="2">
        <v>37</v>
      </c>
      <c r="D109" s="5">
        <v>46023.911111111112</v>
      </c>
      <c r="E109" s="2">
        <v>499</v>
      </c>
      <c r="F109" s="3" t="s">
        <v>66</v>
      </c>
      <c r="G109" s="3" t="s">
        <v>64</v>
      </c>
      <c r="H109" s="2">
        <v>5</v>
      </c>
      <c r="I109" s="6"/>
    </row>
    <row r="110">
      <c r="A110" s="3" t="s">
        <v>177</v>
      </c>
      <c r="B110" s="2">
        <v>266</v>
      </c>
      <c r="C110" s="2">
        <v>29</v>
      </c>
      <c r="D110" s="5">
        <v>46047.229166666664</v>
      </c>
      <c r="E110" s="2">
        <v>499</v>
      </c>
      <c r="F110" s="3" t="s">
        <v>63</v>
      </c>
      <c r="G110" s="3" t="s">
        <v>79</v>
      </c>
      <c r="H110" s="2">
        <v>35</v>
      </c>
      <c r="I110" s="6"/>
    </row>
    <row r="111">
      <c r="A111" s="3" t="s">
        <v>178</v>
      </c>
      <c r="B111" s="2">
        <v>326</v>
      </c>
      <c r="C111" s="2">
        <v>32</v>
      </c>
      <c r="D111" s="5">
        <v>46028.768750000003</v>
      </c>
      <c r="E111" s="2">
        <v>149</v>
      </c>
      <c r="F111" s="3" t="s">
        <v>66</v>
      </c>
      <c r="G111" s="3" t="s">
        <v>64</v>
      </c>
      <c r="H111" s="2">
        <v>11</v>
      </c>
      <c r="I111" s="6"/>
    </row>
    <row r="112">
      <c r="A112" s="3" t="s">
        <v>179</v>
      </c>
      <c r="B112" s="2">
        <v>171</v>
      </c>
      <c r="C112" s="2">
        <v>21</v>
      </c>
      <c r="D112" s="5">
        <v>46038.476388888892</v>
      </c>
      <c r="E112" s="2">
        <v>799</v>
      </c>
      <c r="F112" s="3" t="s">
        <v>66</v>
      </c>
      <c r="G112" s="3" t="s">
        <v>64</v>
      </c>
      <c r="H112" s="2">
        <v>85</v>
      </c>
      <c r="I112" s="6"/>
    </row>
    <row r="113">
      <c r="A113" s="3" t="s">
        <v>180</v>
      </c>
      <c r="B113" s="2">
        <v>211</v>
      </c>
      <c r="C113" s="2">
        <v>32</v>
      </c>
      <c r="D113" s="5">
        <v>46026.222916666666</v>
      </c>
      <c r="E113" s="2">
        <v>49</v>
      </c>
      <c r="F113" s="3" t="s">
        <v>66</v>
      </c>
      <c r="G113" s="3" t="s">
        <v>64</v>
      </c>
      <c r="H113" s="2">
        <v>36</v>
      </c>
      <c r="I113" s="6"/>
    </row>
    <row r="114">
      <c r="A114" s="3" t="s">
        <v>181</v>
      </c>
      <c r="B114" s="2">
        <v>282</v>
      </c>
      <c r="C114" s="2">
        <v>3</v>
      </c>
      <c r="D114" s="5">
        <v>46044.536111111112</v>
      </c>
      <c r="E114" s="2">
        <v>499</v>
      </c>
      <c r="F114" s="3" t="s">
        <v>66</v>
      </c>
      <c r="G114" s="3" t="s">
        <v>64</v>
      </c>
      <c r="H114" s="2">
        <v>58</v>
      </c>
      <c r="I114" s="6"/>
    </row>
    <row r="115">
      <c r="A115" s="3" t="s">
        <v>182</v>
      </c>
      <c r="B115" s="2">
        <v>166</v>
      </c>
      <c r="C115" s="2">
        <v>8</v>
      </c>
      <c r="D115" s="5">
        <v>46025.427777777775</v>
      </c>
      <c r="E115" s="2">
        <v>299</v>
      </c>
      <c r="F115" s="3" t="s">
        <v>66</v>
      </c>
      <c r="G115" s="3" t="s">
        <v>64</v>
      </c>
      <c r="H115" s="2">
        <v>98</v>
      </c>
      <c r="I115" s="6"/>
    </row>
    <row r="116">
      <c r="A116" s="3" t="s">
        <v>183</v>
      </c>
      <c r="B116" s="2">
        <v>1</v>
      </c>
      <c r="C116" s="2">
        <v>35</v>
      </c>
      <c r="D116" s="5">
        <v>46035.702777777777</v>
      </c>
      <c r="E116" s="2">
        <v>149</v>
      </c>
      <c r="F116" s="3" t="s">
        <v>66</v>
      </c>
      <c r="G116" s="3" t="s">
        <v>64</v>
      </c>
      <c r="H116" s="2">
        <v>59</v>
      </c>
      <c r="I116" s="6"/>
    </row>
    <row r="117">
      <c r="A117" s="3" t="s">
        <v>184</v>
      </c>
      <c r="B117" s="2">
        <v>266</v>
      </c>
      <c r="C117" s="2">
        <v>24</v>
      </c>
      <c r="D117" s="5">
        <v>46036.050000000003</v>
      </c>
      <c r="E117" s="2">
        <v>499</v>
      </c>
      <c r="F117" s="3" t="s">
        <v>66</v>
      </c>
      <c r="G117" s="3" t="s">
        <v>64</v>
      </c>
      <c r="H117" s="2">
        <v>79</v>
      </c>
      <c r="I117" s="6"/>
    </row>
    <row r="118">
      <c r="A118" s="3" t="s">
        <v>185</v>
      </c>
      <c r="B118" s="2">
        <v>227</v>
      </c>
      <c r="C118" s="2">
        <v>4</v>
      </c>
      <c r="D118" s="5">
        <v>46047.652777777781</v>
      </c>
      <c r="E118" s="2">
        <v>499</v>
      </c>
      <c r="F118" s="3" t="s">
        <v>66</v>
      </c>
      <c r="G118" s="3" t="s">
        <v>64</v>
      </c>
      <c r="H118" s="2">
        <v>26</v>
      </c>
      <c r="I118" s="6"/>
    </row>
    <row r="119">
      <c r="A119" s="3" t="s">
        <v>186</v>
      </c>
      <c r="B119" s="2">
        <v>148</v>
      </c>
      <c r="C119" s="2">
        <v>29</v>
      </c>
      <c r="D119" s="5">
        <v>46031.713888888888</v>
      </c>
      <c r="E119" s="2">
        <v>499</v>
      </c>
      <c r="F119" s="3" t="s">
        <v>66</v>
      </c>
      <c r="G119" s="3" t="s">
        <v>64</v>
      </c>
      <c r="H119" s="2">
        <v>89</v>
      </c>
      <c r="I119" s="6"/>
    </row>
    <row r="120">
      <c r="A120" s="3" t="s">
        <v>187</v>
      </c>
      <c r="B120" s="2">
        <v>323</v>
      </c>
      <c r="C120" s="2">
        <v>39</v>
      </c>
      <c r="D120" s="5">
        <v>46038.125694444447</v>
      </c>
      <c r="E120" s="2">
        <v>499</v>
      </c>
      <c r="F120" s="3" t="s">
        <v>66</v>
      </c>
      <c r="G120" s="3" t="s">
        <v>64</v>
      </c>
      <c r="H120" s="2">
        <v>30</v>
      </c>
      <c r="I120" s="6"/>
    </row>
    <row r="121">
      <c r="A121" s="3" t="s">
        <v>188</v>
      </c>
      <c r="B121" s="2">
        <v>283</v>
      </c>
      <c r="C121" s="2">
        <v>1</v>
      </c>
      <c r="D121" s="5">
        <v>46045.22152777778</v>
      </c>
      <c r="E121" s="2">
        <v>2999</v>
      </c>
      <c r="F121" s="3" t="s">
        <v>63</v>
      </c>
      <c r="G121" s="3" t="s">
        <v>64</v>
      </c>
      <c r="H121" s="2">
        <v>70</v>
      </c>
      <c r="I121" s="6"/>
    </row>
    <row r="122">
      <c r="A122" s="3" t="s">
        <v>189</v>
      </c>
      <c r="B122" s="2">
        <v>59</v>
      </c>
      <c r="C122" s="2">
        <v>30</v>
      </c>
      <c r="D122" s="5">
        <v>46036.093055555553</v>
      </c>
      <c r="E122" s="2">
        <v>499</v>
      </c>
      <c r="F122" s="3" t="s">
        <v>66</v>
      </c>
      <c r="G122" s="3" t="s">
        <v>64</v>
      </c>
      <c r="H122" s="2">
        <v>15</v>
      </c>
      <c r="I122" s="6"/>
    </row>
    <row r="123">
      <c r="A123" s="3" t="s">
        <v>190</v>
      </c>
      <c r="B123" s="2">
        <v>150</v>
      </c>
      <c r="C123" s="2">
        <v>33</v>
      </c>
      <c r="D123" s="5">
        <v>46043.188194444447</v>
      </c>
      <c r="E123" s="2">
        <v>2999</v>
      </c>
      <c r="F123" s="3" t="s">
        <v>66</v>
      </c>
      <c r="G123" s="3" t="s">
        <v>64</v>
      </c>
      <c r="H123" s="2">
        <v>90</v>
      </c>
      <c r="I123" s="6"/>
    </row>
    <row r="124">
      <c r="A124" s="3" t="s">
        <v>191</v>
      </c>
      <c r="B124" s="2">
        <v>248</v>
      </c>
      <c r="C124" s="2">
        <v>31</v>
      </c>
      <c r="D124" s="5">
        <v>46031.578472222223</v>
      </c>
      <c r="E124" s="2">
        <v>1499</v>
      </c>
      <c r="F124" s="3" t="s">
        <v>66</v>
      </c>
      <c r="G124" s="3" t="s">
        <v>79</v>
      </c>
      <c r="H124" s="2">
        <v>31</v>
      </c>
      <c r="I124" s="6"/>
    </row>
    <row r="125">
      <c r="A125" s="3" t="s">
        <v>192</v>
      </c>
      <c r="B125" s="2">
        <v>197</v>
      </c>
      <c r="C125" s="2">
        <v>13</v>
      </c>
      <c r="D125" s="5">
        <v>46037.714583333334</v>
      </c>
      <c r="E125" s="2">
        <v>49</v>
      </c>
      <c r="F125" s="3" t="s">
        <v>66</v>
      </c>
      <c r="G125" s="3" t="s">
        <v>64</v>
      </c>
      <c r="H125" s="2">
        <v>76</v>
      </c>
      <c r="I125" s="6"/>
    </row>
    <row r="126">
      <c r="A126" s="3" t="s">
        <v>193</v>
      </c>
      <c r="B126" s="2">
        <v>70</v>
      </c>
      <c r="C126" s="2">
        <v>5</v>
      </c>
      <c r="D126" s="5">
        <v>46039.99722222222</v>
      </c>
      <c r="E126" s="2">
        <v>499</v>
      </c>
      <c r="F126" s="3" t="s">
        <v>66</v>
      </c>
      <c r="G126" s="3" t="s">
        <v>64</v>
      </c>
      <c r="H126" s="2">
        <v>35</v>
      </c>
      <c r="I126" s="6"/>
    </row>
    <row r="127">
      <c r="A127" s="3" t="s">
        <v>194</v>
      </c>
      <c r="B127" s="2">
        <v>260</v>
      </c>
      <c r="C127" s="2">
        <v>18</v>
      </c>
      <c r="D127" s="5">
        <v>46047.556250000001</v>
      </c>
      <c r="E127" s="2">
        <v>1499</v>
      </c>
      <c r="F127" s="3" t="s">
        <v>66</v>
      </c>
      <c r="G127" s="3" t="s">
        <v>64</v>
      </c>
      <c r="H127" s="2">
        <v>0</v>
      </c>
      <c r="I127" s="6"/>
    </row>
    <row r="128">
      <c r="A128" s="3" t="s">
        <v>195</v>
      </c>
      <c r="B128" s="2">
        <v>301</v>
      </c>
      <c r="C128" s="2">
        <v>38</v>
      </c>
      <c r="D128" s="5">
        <v>46032.97152777778</v>
      </c>
      <c r="E128" s="2">
        <v>99</v>
      </c>
      <c r="F128" s="3" t="s">
        <v>66</v>
      </c>
      <c r="G128" s="3" t="s">
        <v>64</v>
      </c>
      <c r="H128" s="2">
        <v>84</v>
      </c>
      <c r="I128" s="6"/>
    </row>
    <row r="129">
      <c r="A129" s="3" t="s">
        <v>196</v>
      </c>
      <c r="B129" s="2">
        <v>276</v>
      </c>
      <c r="C129" s="2">
        <v>31</v>
      </c>
      <c r="D129" s="5">
        <v>46038.186111111114</v>
      </c>
      <c r="E129" s="2">
        <v>499</v>
      </c>
      <c r="F129" s="3" t="s">
        <v>78</v>
      </c>
      <c r="G129" s="3" t="s">
        <v>64</v>
      </c>
      <c r="H129" s="2">
        <v>44</v>
      </c>
      <c r="I129" s="6"/>
    </row>
    <row r="130">
      <c r="A130" s="3" t="s">
        <v>197</v>
      </c>
      <c r="B130" s="2">
        <v>279</v>
      </c>
      <c r="C130" s="2">
        <v>25</v>
      </c>
      <c r="D130" s="5">
        <v>46033.741666666669</v>
      </c>
      <c r="E130" s="2">
        <v>799</v>
      </c>
      <c r="F130" s="3" t="s">
        <v>66</v>
      </c>
      <c r="G130" s="3" t="s">
        <v>64</v>
      </c>
      <c r="H130" s="2">
        <v>58</v>
      </c>
      <c r="I130" s="6"/>
    </row>
    <row r="131">
      <c r="A131" s="3" t="s">
        <v>198</v>
      </c>
      <c r="B131" s="2">
        <v>97</v>
      </c>
      <c r="C131" s="2">
        <v>16</v>
      </c>
      <c r="D131" s="5">
        <v>46052.454861111109</v>
      </c>
      <c r="E131" s="2">
        <v>799</v>
      </c>
      <c r="F131" s="3" t="s">
        <v>78</v>
      </c>
      <c r="G131" s="3" t="s">
        <v>64</v>
      </c>
      <c r="H131" s="2">
        <v>73</v>
      </c>
      <c r="I131" s="6"/>
    </row>
    <row r="132">
      <c r="A132" s="3" t="s">
        <v>199</v>
      </c>
      <c r="B132" s="2">
        <v>211</v>
      </c>
      <c r="C132" s="2">
        <v>3</v>
      </c>
      <c r="D132" s="5">
        <v>46035.32916666667</v>
      </c>
      <c r="E132" s="2">
        <v>149</v>
      </c>
      <c r="F132" s="3" t="s">
        <v>66</v>
      </c>
      <c r="G132" s="3" t="s">
        <v>92</v>
      </c>
      <c r="H132" s="2">
        <v>40</v>
      </c>
      <c r="I132" s="6"/>
    </row>
    <row r="133">
      <c r="A133" s="3" t="s">
        <v>200</v>
      </c>
      <c r="B133" s="2">
        <v>196</v>
      </c>
      <c r="C133" s="2">
        <v>25</v>
      </c>
      <c r="D133" s="5">
        <v>46046.65625</v>
      </c>
      <c r="E133" s="2">
        <v>149</v>
      </c>
      <c r="F133" s="3" t="s">
        <v>69</v>
      </c>
      <c r="G133" s="3" t="s">
        <v>64</v>
      </c>
      <c r="H133" s="2">
        <v>84</v>
      </c>
      <c r="I133" s="6"/>
    </row>
    <row r="134">
      <c r="A134" s="3" t="s">
        <v>201</v>
      </c>
      <c r="B134" s="2">
        <v>254</v>
      </c>
      <c r="C134" s="2">
        <v>3</v>
      </c>
      <c r="D134" s="5">
        <v>46048.839583333334</v>
      </c>
      <c r="E134" s="2">
        <v>149</v>
      </c>
      <c r="F134" s="3" t="s">
        <v>78</v>
      </c>
      <c r="G134" s="3" t="s">
        <v>64</v>
      </c>
      <c r="H134" s="2">
        <v>16</v>
      </c>
      <c r="I134" s="6"/>
    </row>
    <row r="135">
      <c r="A135" s="3" t="s">
        <v>202</v>
      </c>
      <c r="B135" s="2">
        <v>52</v>
      </c>
      <c r="C135" s="2">
        <v>29</v>
      </c>
      <c r="D135" s="5">
        <v>46039.76458333333</v>
      </c>
      <c r="E135" s="2">
        <v>49</v>
      </c>
      <c r="F135" s="3" t="s">
        <v>69</v>
      </c>
      <c r="G135" s="3" t="s">
        <v>64</v>
      </c>
      <c r="H135" s="2">
        <v>12</v>
      </c>
      <c r="I135" s="6"/>
    </row>
    <row r="136">
      <c r="A136" s="3" t="s">
        <v>203</v>
      </c>
      <c r="B136" s="2">
        <v>74</v>
      </c>
      <c r="C136" s="2">
        <v>27</v>
      </c>
      <c r="D136" s="5">
        <v>46039.583333333336</v>
      </c>
      <c r="E136" s="2">
        <v>799</v>
      </c>
      <c r="F136" s="3" t="s">
        <v>66</v>
      </c>
      <c r="G136" s="3" t="s">
        <v>64</v>
      </c>
      <c r="H136" s="2">
        <v>83</v>
      </c>
      <c r="I136" s="6"/>
    </row>
    <row r="137">
      <c r="A137" s="3" t="s">
        <v>204</v>
      </c>
      <c r="B137" s="2">
        <v>136</v>
      </c>
      <c r="C137" s="2">
        <v>22</v>
      </c>
      <c r="D137" s="5">
        <v>46027.104166666664</v>
      </c>
      <c r="E137" s="2">
        <v>149</v>
      </c>
      <c r="F137" s="3" t="s">
        <v>66</v>
      </c>
      <c r="G137" s="3" t="s">
        <v>64</v>
      </c>
      <c r="H137" s="2">
        <v>79</v>
      </c>
      <c r="I137" s="6"/>
    </row>
    <row r="138">
      <c r="A138" s="3" t="s">
        <v>205</v>
      </c>
      <c r="B138" s="2">
        <v>42</v>
      </c>
      <c r="C138" s="2">
        <v>22</v>
      </c>
      <c r="D138" s="5">
        <v>46045.52847222222</v>
      </c>
      <c r="E138" s="2">
        <v>49</v>
      </c>
      <c r="F138" s="3" t="s">
        <v>66</v>
      </c>
      <c r="G138" s="3" t="s">
        <v>64</v>
      </c>
      <c r="H138" s="2">
        <v>86</v>
      </c>
      <c r="I138" s="6"/>
    </row>
    <row r="139">
      <c r="A139" s="3" t="s">
        <v>206</v>
      </c>
      <c r="B139" s="2">
        <v>163</v>
      </c>
      <c r="C139" s="2">
        <v>32</v>
      </c>
      <c r="D139" s="5">
        <v>46050.724999999999</v>
      </c>
      <c r="E139" s="2">
        <v>2999</v>
      </c>
      <c r="F139" s="3" t="s">
        <v>63</v>
      </c>
      <c r="G139" s="3" t="s">
        <v>79</v>
      </c>
      <c r="H139" s="2">
        <v>69</v>
      </c>
      <c r="I139" s="6"/>
    </row>
    <row r="140">
      <c r="A140" s="3" t="s">
        <v>207</v>
      </c>
      <c r="B140" s="2">
        <v>121</v>
      </c>
      <c r="C140" s="2">
        <v>19</v>
      </c>
      <c r="D140" s="5">
        <v>46024.794444444444</v>
      </c>
      <c r="E140" s="2">
        <v>149</v>
      </c>
      <c r="F140" s="3" t="s">
        <v>66</v>
      </c>
      <c r="G140" s="3" t="s">
        <v>64</v>
      </c>
      <c r="H140" s="2">
        <v>29</v>
      </c>
      <c r="I140" s="6"/>
    </row>
    <row r="141">
      <c r="A141" s="3" t="s">
        <v>208</v>
      </c>
      <c r="B141" s="2">
        <v>51</v>
      </c>
      <c r="C141" s="2">
        <v>7</v>
      </c>
      <c r="D141" s="5">
        <v>46046.102083333331</v>
      </c>
      <c r="E141" s="2">
        <v>499</v>
      </c>
      <c r="F141" s="3" t="s">
        <v>78</v>
      </c>
      <c r="G141" s="3" t="s">
        <v>64</v>
      </c>
      <c r="H141" s="2">
        <v>56</v>
      </c>
      <c r="I141" s="6"/>
    </row>
    <row r="142">
      <c r="A142" s="3" t="s">
        <v>209</v>
      </c>
      <c r="B142" s="2">
        <v>15</v>
      </c>
      <c r="C142" s="2">
        <v>3</v>
      </c>
      <c r="D142" s="5">
        <v>46028.929861111108</v>
      </c>
      <c r="E142" s="2">
        <v>799</v>
      </c>
      <c r="F142" s="3" t="s">
        <v>66</v>
      </c>
      <c r="G142" s="3" t="s">
        <v>64</v>
      </c>
      <c r="H142" s="2">
        <v>41</v>
      </c>
      <c r="I142" s="6"/>
    </row>
    <row r="143">
      <c r="A143" s="3" t="s">
        <v>210</v>
      </c>
      <c r="B143" s="2">
        <v>184</v>
      </c>
      <c r="C143" s="2">
        <v>24</v>
      </c>
      <c r="D143" s="5">
        <v>46048.054166666669</v>
      </c>
      <c r="E143" s="2">
        <v>49</v>
      </c>
      <c r="F143" s="3" t="s">
        <v>66</v>
      </c>
      <c r="G143" s="3" t="s">
        <v>64</v>
      </c>
      <c r="H143" s="2">
        <v>55</v>
      </c>
      <c r="I143" s="6"/>
    </row>
    <row r="144">
      <c r="A144" s="3" t="s">
        <v>211</v>
      </c>
      <c r="B144" s="2">
        <v>211</v>
      </c>
      <c r="C144" s="2">
        <v>37</v>
      </c>
      <c r="D144" s="5">
        <v>46027.314583333333</v>
      </c>
      <c r="E144" s="2">
        <v>1499</v>
      </c>
      <c r="F144" s="3" t="s">
        <v>66</v>
      </c>
      <c r="G144" s="3" t="s">
        <v>64</v>
      </c>
      <c r="H144" s="2">
        <v>87</v>
      </c>
      <c r="I144" s="6"/>
    </row>
    <row r="145">
      <c r="A145" s="3" t="s">
        <v>212</v>
      </c>
      <c r="B145" s="2">
        <v>90</v>
      </c>
      <c r="C145" s="2">
        <v>6</v>
      </c>
      <c r="D145" s="5">
        <v>46048.215277777781</v>
      </c>
      <c r="E145" s="2">
        <v>49</v>
      </c>
      <c r="F145" s="3" t="s">
        <v>78</v>
      </c>
      <c r="G145" s="3" t="s">
        <v>64</v>
      </c>
      <c r="H145" s="2">
        <v>78</v>
      </c>
      <c r="I145" s="6"/>
    </row>
    <row r="146">
      <c r="A146" s="3" t="s">
        <v>213</v>
      </c>
      <c r="B146" s="2">
        <v>350</v>
      </c>
      <c r="C146" s="2">
        <v>16</v>
      </c>
      <c r="D146" s="5">
        <v>46050.527083333334</v>
      </c>
      <c r="E146" s="2">
        <v>49</v>
      </c>
      <c r="F146" s="3" t="s">
        <v>66</v>
      </c>
      <c r="G146" s="3" t="s">
        <v>64</v>
      </c>
      <c r="H146" s="2">
        <v>63</v>
      </c>
      <c r="I146" s="6"/>
    </row>
    <row r="147">
      <c r="A147" s="3" t="s">
        <v>214</v>
      </c>
      <c r="B147" s="2">
        <v>119</v>
      </c>
      <c r="C147" s="2">
        <v>30</v>
      </c>
      <c r="D147" s="5">
        <v>46052.756249999999</v>
      </c>
      <c r="E147" s="2">
        <v>49</v>
      </c>
      <c r="F147" s="3" t="s">
        <v>78</v>
      </c>
      <c r="G147" s="3" t="s">
        <v>64</v>
      </c>
      <c r="H147" s="2">
        <v>81</v>
      </c>
      <c r="I147" s="6"/>
    </row>
    <row r="148">
      <c r="A148" s="3" t="s">
        <v>215</v>
      </c>
      <c r="B148" s="2">
        <v>342</v>
      </c>
      <c r="C148" s="2">
        <v>1</v>
      </c>
      <c r="D148" s="5">
        <v>46031.594444444447</v>
      </c>
      <c r="E148" s="2">
        <v>49</v>
      </c>
      <c r="F148" s="3" t="s">
        <v>66</v>
      </c>
      <c r="G148" s="3" t="s">
        <v>64</v>
      </c>
      <c r="H148" s="2">
        <v>59</v>
      </c>
      <c r="I148" s="6"/>
    </row>
    <row r="149">
      <c r="A149" s="3" t="s">
        <v>216</v>
      </c>
      <c r="B149" s="2">
        <v>280</v>
      </c>
      <c r="C149" s="2">
        <v>11</v>
      </c>
      <c r="D149" s="5">
        <v>46051.404861111114</v>
      </c>
      <c r="E149" s="2">
        <v>149</v>
      </c>
      <c r="F149" s="3" t="s">
        <v>66</v>
      </c>
      <c r="G149" s="3" t="s">
        <v>92</v>
      </c>
      <c r="H149" s="2">
        <v>9</v>
      </c>
      <c r="I149" s="6"/>
    </row>
    <row r="150">
      <c r="A150" s="3" t="s">
        <v>217</v>
      </c>
      <c r="B150" s="2">
        <v>154</v>
      </c>
      <c r="C150" s="2">
        <v>28</v>
      </c>
      <c r="D150" s="5">
        <v>46037.484027777777</v>
      </c>
      <c r="E150" s="2">
        <v>2999</v>
      </c>
      <c r="F150" s="3" t="s">
        <v>69</v>
      </c>
      <c r="G150" s="3" t="s">
        <v>64</v>
      </c>
      <c r="H150" s="2">
        <v>88</v>
      </c>
      <c r="I150" s="6"/>
    </row>
    <row r="151">
      <c r="A151" s="3" t="s">
        <v>218</v>
      </c>
      <c r="B151" s="2">
        <v>155</v>
      </c>
      <c r="C151" s="2">
        <v>13</v>
      </c>
      <c r="D151" s="5">
        <v>46031.620833333334</v>
      </c>
      <c r="E151" s="2">
        <v>149</v>
      </c>
      <c r="F151" s="3" t="s">
        <v>66</v>
      </c>
      <c r="G151" s="3" t="s">
        <v>64</v>
      </c>
      <c r="H151" s="2">
        <v>49</v>
      </c>
      <c r="I151" s="6"/>
    </row>
    <row r="152">
      <c r="A152" s="3" t="s">
        <v>219</v>
      </c>
      <c r="B152" s="2">
        <v>122</v>
      </c>
      <c r="C152" s="2">
        <v>25</v>
      </c>
      <c r="D152" s="5">
        <v>46050.629166666666</v>
      </c>
      <c r="E152" s="2">
        <v>299</v>
      </c>
      <c r="F152" s="3" t="s">
        <v>66</v>
      </c>
      <c r="G152" s="3" t="s">
        <v>64</v>
      </c>
      <c r="H152" s="2">
        <v>73</v>
      </c>
      <c r="I152" s="6"/>
    </row>
    <row r="153">
      <c r="A153" s="3" t="s">
        <v>220</v>
      </c>
      <c r="B153" s="2">
        <v>152</v>
      </c>
      <c r="C153" s="2">
        <v>2</v>
      </c>
      <c r="D153" s="5">
        <v>46034.762499999997</v>
      </c>
      <c r="E153" s="2">
        <v>49</v>
      </c>
      <c r="F153" s="3" t="s">
        <v>66</v>
      </c>
      <c r="G153" s="3" t="s">
        <v>64</v>
      </c>
      <c r="H153" s="2">
        <v>84</v>
      </c>
      <c r="I153" s="6"/>
    </row>
    <row r="154">
      <c r="A154" s="3" t="s">
        <v>221</v>
      </c>
      <c r="B154" s="2">
        <v>290</v>
      </c>
      <c r="C154" s="2">
        <v>4</v>
      </c>
      <c r="D154" s="5">
        <v>46035.333333333336</v>
      </c>
      <c r="E154" s="2">
        <v>149</v>
      </c>
      <c r="F154" s="3" t="s">
        <v>66</v>
      </c>
      <c r="G154" s="3" t="s">
        <v>64</v>
      </c>
      <c r="H154" s="2">
        <v>77</v>
      </c>
      <c r="I154" s="6"/>
    </row>
    <row r="155">
      <c r="A155" s="3" t="s">
        <v>222</v>
      </c>
      <c r="B155" s="2">
        <v>147</v>
      </c>
      <c r="C155" s="2">
        <v>15</v>
      </c>
      <c r="D155" s="5">
        <v>46046.661805555559</v>
      </c>
      <c r="E155" s="2">
        <v>49</v>
      </c>
      <c r="F155" s="3" t="s">
        <v>63</v>
      </c>
      <c r="G155" s="3" t="s">
        <v>64</v>
      </c>
      <c r="H155" s="2">
        <v>77</v>
      </c>
      <c r="I155" s="6"/>
    </row>
    <row r="156">
      <c r="A156" s="3" t="s">
        <v>223</v>
      </c>
      <c r="B156" s="2">
        <v>326</v>
      </c>
      <c r="C156" s="2">
        <v>13</v>
      </c>
      <c r="D156" s="5">
        <v>46048.468055555553</v>
      </c>
      <c r="E156" s="2">
        <v>299</v>
      </c>
      <c r="F156" s="3" t="s">
        <v>69</v>
      </c>
      <c r="G156" s="3" t="s">
        <v>64</v>
      </c>
      <c r="H156" s="2">
        <v>79</v>
      </c>
      <c r="I156" s="6"/>
    </row>
    <row r="157">
      <c r="A157" s="3" t="s">
        <v>224</v>
      </c>
      <c r="B157" s="2">
        <v>338</v>
      </c>
      <c r="C157" s="2">
        <v>9</v>
      </c>
      <c r="D157" s="5">
        <v>46031.908333333333</v>
      </c>
      <c r="E157" s="2">
        <v>99</v>
      </c>
      <c r="F157" s="3" t="s">
        <v>78</v>
      </c>
      <c r="G157" s="3" t="s">
        <v>64</v>
      </c>
      <c r="H157" s="2">
        <v>80</v>
      </c>
      <c r="I157" s="6"/>
    </row>
    <row r="158">
      <c r="A158" s="3" t="s">
        <v>225</v>
      </c>
      <c r="B158" s="2">
        <v>21</v>
      </c>
      <c r="C158" s="2">
        <v>20</v>
      </c>
      <c r="D158" s="5">
        <v>46026.861805555556</v>
      </c>
      <c r="E158" s="2">
        <v>2999</v>
      </c>
      <c r="F158" s="3" t="s">
        <v>66</v>
      </c>
      <c r="G158" s="3" t="s">
        <v>64</v>
      </c>
      <c r="H158" s="2">
        <v>100</v>
      </c>
      <c r="I158" s="6"/>
    </row>
    <row r="159">
      <c r="A159" s="3" t="s">
        <v>226</v>
      </c>
      <c r="B159" s="2">
        <v>187</v>
      </c>
      <c r="C159" s="2">
        <v>9</v>
      </c>
      <c r="D159" s="5">
        <v>46037.067361111112</v>
      </c>
      <c r="E159" s="2">
        <v>49</v>
      </c>
      <c r="F159" s="3" t="s">
        <v>78</v>
      </c>
      <c r="G159" s="3" t="s">
        <v>79</v>
      </c>
      <c r="H159" s="2">
        <v>11</v>
      </c>
      <c r="I159" s="6"/>
    </row>
    <row r="160">
      <c r="A160" s="3" t="s">
        <v>227</v>
      </c>
      <c r="B160" s="2">
        <v>213</v>
      </c>
      <c r="C160" s="2">
        <v>12</v>
      </c>
      <c r="D160" s="5">
        <v>46052.388888888891</v>
      </c>
      <c r="E160" s="2">
        <v>4999</v>
      </c>
      <c r="F160" s="3" t="s">
        <v>66</v>
      </c>
      <c r="G160" s="3" t="s">
        <v>64</v>
      </c>
      <c r="H160" s="2">
        <v>25</v>
      </c>
      <c r="I160" s="6"/>
    </row>
    <row r="161">
      <c r="A161" s="3" t="s">
        <v>228</v>
      </c>
      <c r="B161" s="2">
        <v>188</v>
      </c>
      <c r="C161" s="2">
        <v>34</v>
      </c>
      <c r="D161" s="5">
        <v>46027.74722222222</v>
      </c>
      <c r="E161" s="2">
        <v>2999</v>
      </c>
      <c r="F161" s="3" t="s">
        <v>66</v>
      </c>
      <c r="G161" s="3" t="s">
        <v>64</v>
      </c>
      <c r="H161" s="2">
        <v>64</v>
      </c>
      <c r="I161" s="6"/>
    </row>
    <row r="162">
      <c r="A162" s="3" t="s">
        <v>229</v>
      </c>
      <c r="B162" s="2">
        <v>85</v>
      </c>
      <c r="C162" s="2">
        <v>17</v>
      </c>
      <c r="D162" s="5">
        <v>46052.370138888888</v>
      </c>
      <c r="E162" s="2">
        <v>499</v>
      </c>
      <c r="F162" s="3" t="s">
        <v>66</v>
      </c>
      <c r="G162" s="3" t="s">
        <v>64</v>
      </c>
      <c r="H162" s="2">
        <v>61</v>
      </c>
      <c r="I162" s="6"/>
    </row>
    <row r="163">
      <c r="A163" s="3" t="s">
        <v>230</v>
      </c>
      <c r="B163" s="2">
        <v>174</v>
      </c>
      <c r="C163" s="2">
        <v>8</v>
      </c>
      <c r="D163" s="5">
        <v>46048.407638888886</v>
      </c>
      <c r="E163" s="2">
        <v>299</v>
      </c>
      <c r="F163" s="3" t="s">
        <v>69</v>
      </c>
      <c r="G163" s="3" t="s">
        <v>64</v>
      </c>
      <c r="H163" s="2">
        <v>59</v>
      </c>
      <c r="I163" s="6"/>
    </row>
    <row r="164">
      <c r="A164" s="3" t="s">
        <v>231</v>
      </c>
      <c r="B164" s="2">
        <v>116</v>
      </c>
      <c r="C164" s="2">
        <v>26</v>
      </c>
      <c r="D164" s="5">
        <v>46025.199999999997</v>
      </c>
      <c r="E164" s="2">
        <v>99</v>
      </c>
      <c r="F164" s="3" t="s">
        <v>69</v>
      </c>
      <c r="G164" s="3" t="s">
        <v>64</v>
      </c>
      <c r="H164" s="2">
        <v>71</v>
      </c>
      <c r="I164" s="6"/>
    </row>
    <row r="165">
      <c r="A165" s="3" t="s">
        <v>232</v>
      </c>
      <c r="B165" s="2">
        <v>203</v>
      </c>
      <c r="C165" s="2">
        <v>1</v>
      </c>
      <c r="D165" s="5">
        <v>46034.118055555555</v>
      </c>
      <c r="E165" s="2">
        <v>149</v>
      </c>
      <c r="F165" s="3" t="s">
        <v>63</v>
      </c>
      <c r="G165" s="3" t="s">
        <v>64</v>
      </c>
      <c r="H165" s="2">
        <v>33</v>
      </c>
      <c r="I165" s="6"/>
    </row>
    <row r="166">
      <c r="A166" s="3" t="s">
        <v>233</v>
      </c>
      <c r="B166" s="2">
        <v>189</v>
      </c>
      <c r="C166" s="2">
        <v>17</v>
      </c>
      <c r="D166" s="5">
        <v>46040.145138888889</v>
      </c>
      <c r="E166" s="2">
        <v>99</v>
      </c>
      <c r="F166" s="3" t="s">
        <v>66</v>
      </c>
      <c r="G166" s="3" t="s">
        <v>64</v>
      </c>
      <c r="H166" s="2">
        <v>74</v>
      </c>
      <c r="I166" s="6"/>
    </row>
    <row r="167">
      <c r="A167" s="3" t="s">
        <v>234</v>
      </c>
      <c r="B167" s="2">
        <v>56</v>
      </c>
      <c r="C167" s="2">
        <v>15</v>
      </c>
      <c r="D167" s="5">
        <v>46035.849305555559</v>
      </c>
      <c r="E167" s="2">
        <v>299</v>
      </c>
      <c r="F167" s="3" t="s">
        <v>66</v>
      </c>
      <c r="G167" s="3" t="s">
        <v>64</v>
      </c>
      <c r="H167" s="2">
        <v>60</v>
      </c>
      <c r="I167" s="6"/>
    </row>
    <row r="168">
      <c r="A168" s="3" t="s">
        <v>235</v>
      </c>
      <c r="B168" s="2">
        <v>288</v>
      </c>
      <c r="C168" s="2">
        <v>21</v>
      </c>
      <c r="D168" s="5">
        <v>46023.830555555556</v>
      </c>
      <c r="E168" s="2">
        <v>4999</v>
      </c>
      <c r="F168" s="3" t="s">
        <v>63</v>
      </c>
      <c r="G168" s="3" t="s">
        <v>79</v>
      </c>
      <c r="H168" s="2">
        <v>78</v>
      </c>
      <c r="I168" s="6"/>
    </row>
    <row r="169">
      <c r="A169" s="3" t="s">
        <v>236</v>
      </c>
      <c r="B169" s="2">
        <v>326</v>
      </c>
      <c r="C169" s="2">
        <v>30</v>
      </c>
      <c r="D169" s="5">
        <v>46030.836111111108</v>
      </c>
      <c r="E169" s="2">
        <v>99</v>
      </c>
      <c r="F169" s="3" t="s">
        <v>78</v>
      </c>
      <c r="G169" s="3" t="s">
        <v>64</v>
      </c>
      <c r="H169" s="2">
        <v>89</v>
      </c>
      <c r="I169" s="6"/>
    </row>
    <row r="170">
      <c r="A170" s="3" t="s">
        <v>237</v>
      </c>
      <c r="B170" s="2">
        <v>60</v>
      </c>
      <c r="C170" s="2">
        <v>9</v>
      </c>
      <c r="D170" s="5">
        <v>46032.851388888892</v>
      </c>
      <c r="E170" s="2">
        <v>49</v>
      </c>
      <c r="F170" s="3" t="s">
        <v>69</v>
      </c>
      <c r="G170" s="3" t="s">
        <v>64</v>
      </c>
      <c r="H170" s="2">
        <v>5</v>
      </c>
      <c r="I170" s="6"/>
    </row>
    <row r="171">
      <c r="A171" s="3" t="s">
        <v>238</v>
      </c>
      <c r="B171" s="2">
        <v>60</v>
      </c>
      <c r="C171" s="2">
        <v>7</v>
      </c>
      <c r="D171" s="5">
        <v>46024.396527777775</v>
      </c>
      <c r="E171" s="2">
        <v>2999</v>
      </c>
      <c r="F171" s="3" t="s">
        <v>63</v>
      </c>
      <c r="G171" s="3" t="s">
        <v>64</v>
      </c>
      <c r="H171" s="2">
        <v>30</v>
      </c>
      <c r="I171" s="6"/>
    </row>
    <row r="172">
      <c r="A172" s="3" t="s">
        <v>239</v>
      </c>
      <c r="B172" s="2">
        <v>199</v>
      </c>
      <c r="C172" s="2">
        <v>30</v>
      </c>
      <c r="D172" s="5">
        <v>46051.713888888888</v>
      </c>
      <c r="E172" s="2">
        <v>149</v>
      </c>
      <c r="F172" s="3" t="s">
        <v>69</v>
      </c>
      <c r="G172" s="3" t="s">
        <v>64</v>
      </c>
      <c r="H172" s="2">
        <v>47</v>
      </c>
      <c r="I172" s="6"/>
    </row>
    <row r="173">
      <c r="A173" s="3" t="s">
        <v>240</v>
      </c>
      <c r="B173" s="2">
        <v>277</v>
      </c>
      <c r="C173" s="2">
        <v>27</v>
      </c>
      <c r="D173" s="5">
        <v>46044.988888888889</v>
      </c>
      <c r="E173" s="2">
        <v>49</v>
      </c>
      <c r="F173" s="3" t="s">
        <v>66</v>
      </c>
      <c r="G173" s="3" t="s">
        <v>64</v>
      </c>
      <c r="H173" s="2">
        <v>75</v>
      </c>
      <c r="I173" s="6"/>
    </row>
    <row r="174">
      <c r="A174" s="3" t="s">
        <v>241</v>
      </c>
      <c r="B174" s="2">
        <v>213</v>
      </c>
      <c r="C174" s="2">
        <v>7</v>
      </c>
      <c r="D174" s="5">
        <v>46046.964583333334</v>
      </c>
      <c r="E174" s="2">
        <v>799</v>
      </c>
      <c r="F174" s="3" t="s">
        <v>69</v>
      </c>
      <c r="G174" s="3" t="s">
        <v>64</v>
      </c>
      <c r="H174" s="2">
        <v>62</v>
      </c>
      <c r="I174" s="6"/>
    </row>
    <row r="175">
      <c r="A175" s="3" t="s">
        <v>242</v>
      </c>
      <c r="B175" s="2">
        <v>17</v>
      </c>
      <c r="C175" s="2">
        <v>24</v>
      </c>
      <c r="D175" s="5">
        <v>46042.553472222222</v>
      </c>
      <c r="E175" s="2">
        <v>299</v>
      </c>
      <c r="F175" s="3" t="s">
        <v>66</v>
      </c>
      <c r="G175" s="3" t="s">
        <v>64</v>
      </c>
      <c r="H175" s="2">
        <v>27</v>
      </c>
      <c r="I175" s="6"/>
    </row>
    <row r="176">
      <c r="A176" s="3" t="s">
        <v>243</v>
      </c>
      <c r="B176" s="2">
        <v>186</v>
      </c>
      <c r="C176" s="2">
        <v>7</v>
      </c>
      <c r="D176" s="5">
        <v>46037.59375</v>
      </c>
      <c r="E176" s="2">
        <v>1499</v>
      </c>
      <c r="F176" s="3" t="s">
        <v>78</v>
      </c>
      <c r="G176" s="3" t="s">
        <v>79</v>
      </c>
      <c r="H176" s="2">
        <v>87</v>
      </c>
      <c r="I176" s="6"/>
    </row>
    <row r="177">
      <c r="A177" s="3" t="s">
        <v>244</v>
      </c>
      <c r="B177" s="2">
        <v>331</v>
      </c>
      <c r="C177" s="2">
        <v>23</v>
      </c>
      <c r="D177" s="5">
        <v>46034.747916666667</v>
      </c>
      <c r="E177" s="2">
        <v>149</v>
      </c>
      <c r="F177" s="3" t="s">
        <v>66</v>
      </c>
      <c r="G177" s="3" t="s">
        <v>64</v>
      </c>
      <c r="H177" s="2">
        <v>7</v>
      </c>
      <c r="I177" s="6"/>
    </row>
    <row r="178">
      <c r="A178" s="3" t="s">
        <v>245</v>
      </c>
      <c r="B178" s="2">
        <v>63</v>
      </c>
      <c r="C178" s="2">
        <v>30</v>
      </c>
      <c r="D178" s="5">
        <v>46035.341666666667</v>
      </c>
      <c r="E178" s="2">
        <v>1499</v>
      </c>
      <c r="F178" s="3" t="s">
        <v>78</v>
      </c>
      <c r="G178" s="3" t="s">
        <v>64</v>
      </c>
      <c r="H178" s="2">
        <v>11</v>
      </c>
      <c r="I178" s="6"/>
    </row>
    <row r="179">
      <c r="A179" s="3" t="s">
        <v>246</v>
      </c>
      <c r="B179" s="2">
        <v>328</v>
      </c>
      <c r="C179" s="2">
        <v>39</v>
      </c>
      <c r="D179" s="5">
        <v>46044.27847222222</v>
      </c>
      <c r="E179" s="2">
        <v>4999</v>
      </c>
      <c r="F179" s="3" t="s">
        <v>63</v>
      </c>
      <c r="G179" s="3" t="s">
        <v>92</v>
      </c>
      <c r="H179" s="2">
        <v>2</v>
      </c>
      <c r="I179" s="6"/>
    </row>
    <row r="180">
      <c r="A180" s="3" t="s">
        <v>247</v>
      </c>
      <c r="B180" s="2">
        <v>65</v>
      </c>
      <c r="C180" s="2">
        <v>37</v>
      </c>
      <c r="D180" s="5">
        <v>46024.427083333336</v>
      </c>
      <c r="E180" s="2">
        <v>2999</v>
      </c>
      <c r="F180" s="3" t="s">
        <v>78</v>
      </c>
      <c r="G180" s="3" t="s">
        <v>64</v>
      </c>
      <c r="H180" s="2">
        <v>26</v>
      </c>
      <c r="I180" s="6"/>
    </row>
    <row r="181">
      <c r="A181" s="3" t="s">
        <v>248</v>
      </c>
      <c r="B181" s="2">
        <v>301</v>
      </c>
      <c r="C181" s="2">
        <v>14</v>
      </c>
      <c r="D181" s="5">
        <v>46025.717361111114</v>
      </c>
      <c r="E181" s="2">
        <v>149</v>
      </c>
      <c r="F181" s="3" t="s">
        <v>66</v>
      </c>
      <c r="G181" s="3" t="s">
        <v>64</v>
      </c>
      <c r="H181" s="2">
        <v>29</v>
      </c>
      <c r="I181" s="6"/>
    </row>
    <row r="182">
      <c r="A182" s="3" t="s">
        <v>249</v>
      </c>
      <c r="B182" s="2">
        <v>306</v>
      </c>
      <c r="C182" s="2">
        <v>1</v>
      </c>
      <c r="D182" s="5">
        <v>46033.201388888891</v>
      </c>
      <c r="E182" s="2">
        <v>299</v>
      </c>
      <c r="F182" s="3" t="s">
        <v>66</v>
      </c>
      <c r="G182" s="3" t="s">
        <v>79</v>
      </c>
      <c r="H182" s="2">
        <v>35</v>
      </c>
      <c r="I182" s="6"/>
    </row>
    <row r="183">
      <c r="A183" s="3" t="s">
        <v>250</v>
      </c>
      <c r="B183" s="2">
        <v>277</v>
      </c>
      <c r="C183" s="2">
        <v>17</v>
      </c>
      <c r="D183" s="5">
        <v>46050.172222222223</v>
      </c>
      <c r="E183" s="2">
        <v>299</v>
      </c>
      <c r="F183" s="3" t="s">
        <v>66</v>
      </c>
      <c r="G183" s="3" t="s">
        <v>64</v>
      </c>
      <c r="H183" s="2">
        <v>22</v>
      </c>
      <c r="I183" s="6"/>
    </row>
    <row r="184">
      <c r="A184" s="3" t="s">
        <v>251</v>
      </c>
      <c r="B184" s="2">
        <v>14</v>
      </c>
      <c r="C184" s="2">
        <v>9</v>
      </c>
      <c r="D184" s="5">
        <v>46026.913194444445</v>
      </c>
      <c r="E184" s="2">
        <v>499</v>
      </c>
      <c r="F184" s="3" t="s">
        <v>66</v>
      </c>
      <c r="G184" s="3" t="s">
        <v>64</v>
      </c>
      <c r="H184" s="2">
        <v>1</v>
      </c>
      <c r="I184" s="6"/>
    </row>
    <row r="185">
      <c r="A185" s="3" t="s">
        <v>252</v>
      </c>
      <c r="B185" s="2">
        <v>166</v>
      </c>
      <c r="C185" s="2">
        <v>2</v>
      </c>
      <c r="D185" s="5">
        <v>46034.317361111112</v>
      </c>
      <c r="E185" s="2">
        <v>299</v>
      </c>
      <c r="F185" s="3" t="s">
        <v>78</v>
      </c>
      <c r="G185" s="3" t="s">
        <v>64</v>
      </c>
      <c r="H185" s="2">
        <v>22</v>
      </c>
      <c r="I185" s="6"/>
    </row>
    <row r="186">
      <c r="A186" s="3" t="s">
        <v>253</v>
      </c>
      <c r="B186" s="2">
        <v>216</v>
      </c>
      <c r="C186" s="2">
        <v>34</v>
      </c>
      <c r="D186" s="5">
        <v>46031.047222222223</v>
      </c>
      <c r="E186" s="2">
        <v>299</v>
      </c>
      <c r="F186" s="3" t="s">
        <v>78</v>
      </c>
      <c r="G186" s="3" t="s">
        <v>64</v>
      </c>
      <c r="H186" s="2">
        <v>14</v>
      </c>
      <c r="I186" s="6"/>
    </row>
    <row r="187">
      <c r="A187" s="3" t="s">
        <v>254</v>
      </c>
      <c r="B187" s="2">
        <v>230</v>
      </c>
      <c r="C187" s="2">
        <v>24</v>
      </c>
      <c r="D187" s="5">
        <v>46046.104166666664</v>
      </c>
      <c r="E187" s="2">
        <v>49</v>
      </c>
      <c r="F187" s="3" t="s">
        <v>66</v>
      </c>
      <c r="G187" s="3" t="s">
        <v>64</v>
      </c>
      <c r="H187" s="2">
        <v>65</v>
      </c>
      <c r="I187" s="6"/>
    </row>
    <row r="188">
      <c r="A188" s="3" t="s">
        <v>255</v>
      </c>
      <c r="B188" s="2">
        <v>258</v>
      </c>
      <c r="C188" s="2">
        <v>15</v>
      </c>
      <c r="D188" s="5">
        <v>46041.144444444442</v>
      </c>
      <c r="E188" s="2">
        <v>499</v>
      </c>
      <c r="F188" s="3" t="s">
        <v>63</v>
      </c>
      <c r="G188" s="3" t="s">
        <v>64</v>
      </c>
      <c r="H188" s="2">
        <v>78</v>
      </c>
      <c r="I188" s="6"/>
    </row>
    <row r="189">
      <c r="A189" s="3" t="s">
        <v>256</v>
      </c>
      <c r="B189" s="2">
        <v>338</v>
      </c>
      <c r="C189" s="2">
        <v>34</v>
      </c>
      <c r="D189" s="5">
        <v>46024.993055555555</v>
      </c>
      <c r="E189" s="2">
        <v>49</v>
      </c>
      <c r="F189" s="3" t="s">
        <v>66</v>
      </c>
      <c r="G189" s="3" t="s">
        <v>64</v>
      </c>
      <c r="H189" s="2">
        <v>38</v>
      </c>
      <c r="I189" s="6"/>
    </row>
    <row r="190">
      <c r="A190" s="3" t="s">
        <v>257</v>
      </c>
      <c r="B190" s="2">
        <v>32</v>
      </c>
      <c r="C190" s="2">
        <v>31</v>
      </c>
      <c r="D190" s="5">
        <v>46037.834027777775</v>
      </c>
      <c r="E190" s="2">
        <v>299</v>
      </c>
      <c r="F190" s="3" t="s">
        <v>66</v>
      </c>
      <c r="G190" s="3" t="s">
        <v>64</v>
      </c>
      <c r="H190" s="2">
        <v>51</v>
      </c>
      <c r="I190" s="6"/>
    </row>
    <row r="191">
      <c r="A191" s="3" t="s">
        <v>258</v>
      </c>
      <c r="B191" s="2">
        <v>252</v>
      </c>
      <c r="C191" s="2">
        <v>29</v>
      </c>
      <c r="D191" s="5">
        <v>46036.879166666666</v>
      </c>
      <c r="E191" s="2">
        <v>1499</v>
      </c>
      <c r="F191" s="3" t="s">
        <v>66</v>
      </c>
      <c r="G191" s="3" t="s">
        <v>64</v>
      </c>
      <c r="H191" s="2">
        <v>9</v>
      </c>
      <c r="I191" s="6"/>
    </row>
    <row r="192">
      <c r="A192" s="3" t="s">
        <v>259</v>
      </c>
      <c r="B192" s="2">
        <v>312</v>
      </c>
      <c r="C192" s="2">
        <v>10</v>
      </c>
      <c r="D192" s="5">
        <v>46051.097222222219</v>
      </c>
      <c r="E192" s="2">
        <v>799</v>
      </c>
      <c r="F192" s="3" t="s">
        <v>66</v>
      </c>
      <c r="G192" s="3" t="s">
        <v>64</v>
      </c>
      <c r="H192" s="2">
        <v>8</v>
      </c>
      <c r="I192" s="6"/>
    </row>
    <row r="193">
      <c r="A193" s="3" t="s">
        <v>260</v>
      </c>
      <c r="B193" s="2">
        <v>325</v>
      </c>
      <c r="C193" s="2">
        <v>38</v>
      </c>
      <c r="D193" s="5">
        <v>46027.36041666667</v>
      </c>
      <c r="E193" s="2">
        <v>1499</v>
      </c>
      <c r="F193" s="3" t="s">
        <v>69</v>
      </c>
      <c r="G193" s="3" t="s">
        <v>64</v>
      </c>
      <c r="H193" s="2">
        <v>70</v>
      </c>
      <c r="I193" s="6"/>
    </row>
    <row r="194">
      <c r="A194" s="3" t="s">
        <v>261</v>
      </c>
      <c r="B194" s="2">
        <v>306</v>
      </c>
      <c r="C194" s="2">
        <v>34</v>
      </c>
      <c r="D194" s="5">
        <v>46045.433333333334</v>
      </c>
      <c r="E194" s="2">
        <v>2999</v>
      </c>
      <c r="F194" s="3" t="s">
        <v>66</v>
      </c>
      <c r="G194" s="3" t="s">
        <v>64</v>
      </c>
      <c r="H194" s="2">
        <v>37</v>
      </c>
      <c r="I194" s="6"/>
    </row>
    <row r="195">
      <c r="A195" s="3" t="s">
        <v>262</v>
      </c>
      <c r="B195" s="2">
        <v>221</v>
      </c>
      <c r="C195" s="2">
        <v>7</v>
      </c>
      <c r="D195" s="5">
        <v>46037.693055555559</v>
      </c>
      <c r="E195" s="2">
        <v>149</v>
      </c>
      <c r="F195" s="3" t="s">
        <v>69</v>
      </c>
      <c r="G195" s="3" t="s">
        <v>64</v>
      </c>
      <c r="H195" s="2">
        <v>89</v>
      </c>
      <c r="I195" s="6"/>
    </row>
    <row r="196">
      <c r="A196" s="3" t="s">
        <v>263</v>
      </c>
      <c r="B196" s="2">
        <v>283</v>
      </c>
      <c r="C196" s="2">
        <v>14</v>
      </c>
      <c r="D196" s="5">
        <v>46026.861805555556</v>
      </c>
      <c r="E196" s="2">
        <v>99</v>
      </c>
      <c r="F196" s="3" t="s">
        <v>63</v>
      </c>
      <c r="G196" s="3" t="s">
        <v>64</v>
      </c>
      <c r="H196" s="2">
        <v>55</v>
      </c>
      <c r="I196" s="6"/>
    </row>
    <row r="197">
      <c r="A197" s="3" t="s">
        <v>264</v>
      </c>
      <c r="B197" s="2">
        <v>174</v>
      </c>
      <c r="C197" s="2">
        <v>30</v>
      </c>
      <c r="D197" s="5">
        <v>46037.30972222222</v>
      </c>
      <c r="E197" s="2">
        <v>49</v>
      </c>
      <c r="F197" s="3" t="s">
        <v>66</v>
      </c>
      <c r="G197" s="3" t="s">
        <v>64</v>
      </c>
      <c r="H197" s="2">
        <v>51</v>
      </c>
      <c r="I197" s="6"/>
    </row>
    <row r="198">
      <c r="A198" s="3" t="s">
        <v>265</v>
      </c>
      <c r="B198" s="2">
        <v>161</v>
      </c>
      <c r="C198" s="2">
        <v>28</v>
      </c>
      <c r="D198" s="5">
        <v>46036.962500000001</v>
      </c>
      <c r="E198" s="2">
        <v>49</v>
      </c>
      <c r="F198" s="3" t="s">
        <v>66</v>
      </c>
      <c r="G198" s="3" t="s">
        <v>64</v>
      </c>
      <c r="H198" s="2">
        <v>40</v>
      </c>
      <c r="I198" s="6"/>
    </row>
    <row r="199">
      <c r="A199" s="3" t="s">
        <v>266</v>
      </c>
      <c r="B199" s="2">
        <v>79</v>
      </c>
      <c r="C199" s="2">
        <v>31</v>
      </c>
      <c r="D199" s="5">
        <v>46044.349305555559</v>
      </c>
      <c r="E199" s="2">
        <v>99</v>
      </c>
      <c r="F199" s="3" t="s">
        <v>66</v>
      </c>
      <c r="G199" s="3" t="s">
        <v>64</v>
      </c>
      <c r="H199" s="2">
        <v>8</v>
      </c>
      <c r="I199" s="6"/>
    </row>
    <row r="200">
      <c r="A200" s="3" t="s">
        <v>267</v>
      </c>
      <c r="B200" s="2">
        <v>222</v>
      </c>
      <c r="C200" s="2">
        <v>7</v>
      </c>
      <c r="D200" s="5">
        <v>46025.086805555555</v>
      </c>
      <c r="E200" s="2">
        <v>149</v>
      </c>
      <c r="F200" s="3" t="s">
        <v>63</v>
      </c>
      <c r="G200" s="3" t="s">
        <v>64</v>
      </c>
      <c r="H200" s="2">
        <v>95</v>
      </c>
      <c r="I200" s="6"/>
    </row>
    <row r="201">
      <c r="A201" s="3" t="s">
        <v>268</v>
      </c>
      <c r="B201" s="2">
        <v>67</v>
      </c>
      <c r="C201" s="2">
        <v>36</v>
      </c>
      <c r="D201" s="5">
        <v>46046.493750000001</v>
      </c>
      <c r="E201" s="2">
        <v>99</v>
      </c>
      <c r="F201" s="3" t="s">
        <v>66</v>
      </c>
      <c r="G201" s="3" t="s">
        <v>64</v>
      </c>
      <c r="H201" s="2">
        <v>7</v>
      </c>
      <c r="I201" s="6"/>
    </row>
    <row r="202">
      <c r="A202" s="3" t="s">
        <v>269</v>
      </c>
      <c r="B202" s="2">
        <v>169</v>
      </c>
      <c r="C202" s="2">
        <v>8</v>
      </c>
      <c r="D202" s="5">
        <v>46041.732638888891</v>
      </c>
      <c r="E202" s="2">
        <v>99</v>
      </c>
      <c r="F202" s="3" t="s">
        <v>66</v>
      </c>
      <c r="G202" s="3" t="s">
        <v>64</v>
      </c>
      <c r="H202" s="2">
        <v>52</v>
      </c>
      <c r="I202" s="6"/>
    </row>
    <row r="203">
      <c r="A203" s="3" t="s">
        <v>270</v>
      </c>
      <c r="B203" s="2">
        <v>217</v>
      </c>
      <c r="C203" s="2">
        <v>4</v>
      </c>
      <c r="D203" s="5">
        <v>46034.908333333333</v>
      </c>
      <c r="E203" s="2">
        <v>49</v>
      </c>
      <c r="F203" s="3" t="s">
        <v>66</v>
      </c>
      <c r="G203" s="3" t="s">
        <v>64</v>
      </c>
      <c r="H203" s="2">
        <v>36</v>
      </c>
      <c r="I203" s="6"/>
    </row>
    <row r="204">
      <c r="A204" s="3" t="s">
        <v>271</v>
      </c>
      <c r="B204" s="2">
        <v>54</v>
      </c>
      <c r="C204" s="2">
        <v>37</v>
      </c>
      <c r="D204" s="5">
        <v>46042.390277777777</v>
      </c>
      <c r="E204" s="2">
        <v>149</v>
      </c>
      <c r="F204" s="3" t="s">
        <v>66</v>
      </c>
      <c r="G204" s="3" t="s">
        <v>64</v>
      </c>
      <c r="H204" s="2">
        <v>64</v>
      </c>
      <c r="I204" s="6"/>
    </row>
    <row r="205">
      <c r="A205" s="3" t="s">
        <v>272</v>
      </c>
      <c r="B205" s="2">
        <v>247</v>
      </c>
      <c r="C205" s="2">
        <v>15</v>
      </c>
      <c r="D205" s="5">
        <v>46029.195833333331</v>
      </c>
      <c r="E205" s="2">
        <v>49</v>
      </c>
      <c r="F205" s="3" t="s">
        <v>78</v>
      </c>
      <c r="G205" s="3" t="s">
        <v>64</v>
      </c>
      <c r="H205" s="2">
        <v>13</v>
      </c>
      <c r="I205" s="6"/>
    </row>
    <row r="206">
      <c r="A206" s="3" t="s">
        <v>273</v>
      </c>
      <c r="B206" s="2">
        <v>59</v>
      </c>
      <c r="C206" s="2">
        <v>18</v>
      </c>
      <c r="D206" s="5">
        <v>46034.724305555559</v>
      </c>
      <c r="E206" s="2">
        <v>49</v>
      </c>
      <c r="F206" s="3" t="s">
        <v>78</v>
      </c>
      <c r="G206" s="3" t="s">
        <v>64</v>
      </c>
      <c r="H206" s="2">
        <v>73</v>
      </c>
      <c r="I206" s="6"/>
    </row>
    <row r="207">
      <c r="A207" s="3" t="s">
        <v>274</v>
      </c>
      <c r="B207" s="2">
        <v>288</v>
      </c>
      <c r="C207" s="2">
        <v>40</v>
      </c>
      <c r="D207" s="5">
        <v>46030.57916666667</v>
      </c>
      <c r="E207" s="2">
        <v>49</v>
      </c>
      <c r="F207" s="3" t="s">
        <v>66</v>
      </c>
      <c r="G207" s="3" t="s">
        <v>79</v>
      </c>
      <c r="H207" s="2">
        <v>78</v>
      </c>
      <c r="I207" s="6"/>
    </row>
    <row r="208">
      <c r="A208" s="3" t="s">
        <v>275</v>
      </c>
      <c r="B208" s="2">
        <v>14</v>
      </c>
      <c r="C208" s="2">
        <v>39</v>
      </c>
      <c r="D208" s="5">
        <v>46044.857638888891</v>
      </c>
      <c r="E208" s="2">
        <v>799</v>
      </c>
      <c r="F208" s="3" t="s">
        <v>66</v>
      </c>
      <c r="G208" s="3" t="s">
        <v>64</v>
      </c>
      <c r="H208" s="2">
        <v>84</v>
      </c>
      <c r="I208" s="6"/>
    </row>
    <row r="209">
      <c r="A209" s="3" t="s">
        <v>276</v>
      </c>
      <c r="B209" s="2">
        <v>15</v>
      </c>
      <c r="C209" s="2">
        <v>12</v>
      </c>
      <c r="D209" s="5">
        <v>46049.928472222222</v>
      </c>
      <c r="E209" s="2">
        <v>149</v>
      </c>
      <c r="F209" s="3" t="s">
        <v>66</v>
      </c>
      <c r="G209" s="3" t="s">
        <v>64</v>
      </c>
      <c r="H209" s="2">
        <v>34</v>
      </c>
      <c r="I209" s="6"/>
    </row>
    <row r="210">
      <c r="A210" s="3" t="s">
        <v>277</v>
      </c>
      <c r="B210" s="2">
        <v>174</v>
      </c>
      <c r="C210" s="2">
        <v>23</v>
      </c>
      <c r="D210" s="5">
        <v>46045.415277777778</v>
      </c>
      <c r="E210" s="2">
        <v>149</v>
      </c>
      <c r="F210" s="3" t="s">
        <v>66</v>
      </c>
      <c r="G210" s="3" t="s">
        <v>64</v>
      </c>
      <c r="H210" s="2">
        <v>0</v>
      </c>
      <c r="I210" s="6"/>
    </row>
    <row r="211">
      <c r="A211" s="3" t="s">
        <v>278</v>
      </c>
      <c r="B211" s="2">
        <v>337</v>
      </c>
      <c r="C211" s="2">
        <v>26</v>
      </c>
      <c r="D211" s="5">
        <v>46028.191666666666</v>
      </c>
      <c r="E211" s="2">
        <v>49</v>
      </c>
      <c r="F211" s="3" t="s">
        <v>66</v>
      </c>
      <c r="G211" s="3" t="s">
        <v>64</v>
      </c>
      <c r="H211" s="2">
        <v>8</v>
      </c>
      <c r="I211" s="6"/>
    </row>
    <row r="212">
      <c r="A212" s="3" t="s">
        <v>279</v>
      </c>
      <c r="B212" s="2">
        <v>16</v>
      </c>
      <c r="C212" s="2">
        <v>6</v>
      </c>
      <c r="D212" s="5">
        <v>46027.986111111109</v>
      </c>
      <c r="E212" s="2">
        <v>1499</v>
      </c>
      <c r="F212" s="3" t="s">
        <v>66</v>
      </c>
      <c r="G212" s="3" t="s">
        <v>64</v>
      </c>
      <c r="H212" s="2">
        <v>95</v>
      </c>
      <c r="I212" s="6"/>
    </row>
    <row r="213">
      <c r="A213" s="3" t="s">
        <v>280</v>
      </c>
      <c r="B213" s="2">
        <v>215</v>
      </c>
      <c r="C213" s="2">
        <v>30</v>
      </c>
      <c r="D213" s="5">
        <v>46039.26666666667</v>
      </c>
      <c r="E213" s="2">
        <v>49</v>
      </c>
      <c r="F213" s="3" t="s">
        <v>66</v>
      </c>
      <c r="G213" s="3" t="s">
        <v>64</v>
      </c>
      <c r="H213" s="2">
        <v>43</v>
      </c>
      <c r="I213" s="6"/>
    </row>
    <row r="214">
      <c r="A214" s="3" t="s">
        <v>281</v>
      </c>
      <c r="B214" s="2">
        <v>167</v>
      </c>
      <c r="C214" s="2">
        <v>37</v>
      </c>
      <c r="D214" s="5">
        <v>46028.47152777778</v>
      </c>
      <c r="E214" s="2">
        <v>99</v>
      </c>
      <c r="F214" s="3" t="s">
        <v>66</v>
      </c>
      <c r="G214" s="3" t="s">
        <v>64</v>
      </c>
      <c r="H214" s="2">
        <v>76</v>
      </c>
      <c r="I214" s="6"/>
    </row>
    <row r="215">
      <c r="A215" s="3" t="s">
        <v>282</v>
      </c>
      <c r="B215" s="2">
        <v>81</v>
      </c>
      <c r="C215" s="2">
        <v>40</v>
      </c>
      <c r="D215" s="5">
        <v>46025.04791666667</v>
      </c>
      <c r="E215" s="2">
        <v>49</v>
      </c>
      <c r="F215" s="3" t="s">
        <v>66</v>
      </c>
      <c r="G215" s="3" t="s">
        <v>64</v>
      </c>
      <c r="H215" s="2">
        <v>6</v>
      </c>
      <c r="I215" s="6"/>
    </row>
    <row r="216">
      <c r="A216" s="3" t="s">
        <v>283</v>
      </c>
      <c r="B216" s="2">
        <v>227</v>
      </c>
      <c r="C216" s="2">
        <v>28</v>
      </c>
      <c r="D216" s="5">
        <v>46044.095138888886</v>
      </c>
      <c r="E216" s="2">
        <v>99</v>
      </c>
      <c r="F216" s="3" t="s">
        <v>66</v>
      </c>
      <c r="G216" s="3" t="s">
        <v>64</v>
      </c>
      <c r="H216" s="2">
        <v>62</v>
      </c>
      <c r="I216" s="6"/>
    </row>
    <row r="217">
      <c r="A217" s="3" t="s">
        <v>284</v>
      </c>
      <c r="B217" s="2">
        <v>140</v>
      </c>
      <c r="C217" s="2">
        <v>14</v>
      </c>
      <c r="D217" s="5">
        <v>46042.601388888892</v>
      </c>
      <c r="E217" s="2">
        <v>299</v>
      </c>
      <c r="F217" s="3" t="s">
        <v>63</v>
      </c>
      <c r="G217" s="3" t="s">
        <v>64</v>
      </c>
      <c r="H217" s="2">
        <v>96</v>
      </c>
      <c r="I217" s="6"/>
    </row>
    <row r="218">
      <c r="A218" s="3" t="s">
        <v>285</v>
      </c>
      <c r="B218" s="2">
        <v>221</v>
      </c>
      <c r="C218" s="2">
        <v>8</v>
      </c>
      <c r="D218" s="5">
        <v>46039.140277777777</v>
      </c>
      <c r="E218" s="2">
        <v>299</v>
      </c>
      <c r="F218" s="3" t="s">
        <v>66</v>
      </c>
      <c r="G218" s="3" t="s">
        <v>64</v>
      </c>
      <c r="H218" s="2">
        <v>36</v>
      </c>
      <c r="I218" s="6"/>
    </row>
    <row r="219">
      <c r="A219" s="3" t="s">
        <v>286</v>
      </c>
      <c r="B219" s="2">
        <v>250</v>
      </c>
      <c r="C219" s="2">
        <v>34</v>
      </c>
      <c r="D219" s="5">
        <v>46044.900694444441</v>
      </c>
      <c r="E219" s="2">
        <v>299</v>
      </c>
      <c r="F219" s="3" t="s">
        <v>63</v>
      </c>
      <c r="G219" s="3" t="s">
        <v>64</v>
      </c>
      <c r="H219" s="2">
        <v>85</v>
      </c>
      <c r="I219" s="6"/>
    </row>
    <row r="220">
      <c r="A220" s="3" t="s">
        <v>287</v>
      </c>
      <c r="B220" s="2">
        <v>203</v>
      </c>
      <c r="C220" s="2">
        <v>39</v>
      </c>
      <c r="D220" s="5">
        <v>46032.051388888889</v>
      </c>
      <c r="E220" s="2">
        <v>49</v>
      </c>
      <c r="F220" s="3" t="s">
        <v>66</v>
      </c>
      <c r="G220" s="3" t="s">
        <v>64</v>
      </c>
      <c r="H220" s="2">
        <v>7</v>
      </c>
      <c r="I220" s="6"/>
    </row>
    <row r="221">
      <c r="A221" s="3" t="s">
        <v>288</v>
      </c>
      <c r="B221" s="2">
        <v>109</v>
      </c>
      <c r="C221" s="2">
        <v>9</v>
      </c>
      <c r="D221" s="5">
        <v>46023.263194444444</v>
      </c>
      <c r="E221" s="2">
        <v>499</v>
      </c>
      <c r="F221" s="3" t="s">
        <v>63</v>
      </c>
      <c r="G221" s="3" t="s">
        <v>64</v>
      </c>
      <c r="H221" s="2">
        <v>97</v>
      </c>
      <c r="I221" s="6"/>
    </row>
    <row r="222">
      <c r="A222" s="3" t="s">
        <v>289</v>
      </c>
      <c r="B222" s="2">
        <v>62</v>
      </c>
      <c r="C222" s="2">
        <v>1</v>
      </c>
      <c r="D222" s="5">
        <v>46031.388888888891</v>
      </c>
      <c r="E222" s="2">
        <v>4999</v>
      </c>
      <c r="F222" s="3" t="s">
        <v>63</v>
      </c>
      <c r="G222" s="3" t="s">
        <v>64</v>
      </c>
      <c r="H222" s="2">
        <v>63</v>
      </c>
      <c r="I222" s="6"/>
    </row>
    <row r="223">
      <c r="A223" s="3" t="s">
        <v>290</v>
      </c>
      <c r="B223" s="2">
        <v>67</v>
      </c>
      <c r="C223" s="2">
        <v>25</v>
      </c>
      <c r="D223" s="5">
        <v>46046.549305555556</v>
      </c>
      <c r="E223" s="2">
        <v>49</v>
      </c>
      <c r="F223" s="3" t="s">
        <v>66</v>
      </c>
      <c r="G223" s="3" t="s">
        <v>64</v>
      </c>
      <c r="H223" s="2">
        <v>68</v>
      </c>
      <c r="I223" s="6"/>
    </row>
    <row r="224">
      <c r="A224" s="3" t="s">
        <v>291</v>
      </c>
      <c r="B224" s="2">
        <v>287</v>
      </c>
      <c r="C224" s="2">
        <v>23</v>
      </c>
      <c r="D224" s="5">
        <v>46045.313888888886</v>
      </c>
      <c r="E224" s="2">
        <v>49</v>
      </c>
      <c r="F224" s="3" t="s">
        <v>66</v>
      </c>
      <c r="G224" s="3" t="s">
        <v>64</v>
      </c>
      <c r="H224" s="2">
        <v>9</v>
      </c>
      <c r="I224" s="6"/>
    </row>
    <row r="225">
      <c r="A225" s="3" t="s">
        <v>292</v>
      </c>
      <c r="B225" s="2">
        <v>224</v>
      </c>
      <c r="C225" s="2">
        <v>2</v>
      </c>
      <c r="D225" s="5">
        <v>46035.959722222222</v>
      </c>
      <c r="E225" s="2">
        <v>49</v>
      </c>
      <c r="F225" s="3" t="s">
        <v>78</v>
      </c>
      <c r="G225" s="3" t="s">
        <v>64</v>
      </c>
      <c r="H225" s="2">
        <v>58</v>
      </c>
      <c r="I225" s="6"/>
    </row>
    <row r="226">
      <c r="A226" s="3" t="s">
        <v>293</v>
      </c>
      <c r="B226" s="2">
        <v>161</v>
      </c>
      <c r="C226" s="2">
        <v>37</v>
      </c>
      <c r="D226" s="5">
        <v>46052.121527777781</v>
      </c>
      <c r="E226" s="2">
        <v>299</v>
      </c>
      <c r="F226" s="3" t="s">
        <v>66</v>
      </c>
      <c r="G226" s="3" t="s">
        <v>64</v>
      </c>
      <c r="H226" s="2">
        <v>54</v>
      </c>
      <c r="I226" s="6"/>
    </row>
    <row r="227">
      <c r="A227" s="3" t="s">
        <v>294</v>
      </c>
      <c r="B227" s="2">
        <v>328</v>
      </c>
      <c r="C227" s="2">
        <v>27</v>
      </c>
      <c r="D227" s="5">
        <v>46041.53125</v>
      </c>
      <c r="E227" s="2">
        <v>49</v>
      </c>
      <c r="F227" s="3" t="s">
        <v>66</v>
      </c>
      <c r="G227" s="3" t="s">
        <v>92</v>
      </c>
      <c r="H227" s="2">
        <v>37</v>
      </c>
      <c r="I227" s="6"/>
    </row>
    <row r="228">
      <c r="A228" s="3" t="s">
        <v>295</v>
      </c>
      <c r="B228" s="2">
        <v>167</v>
      </c>
      <c r="C228" s="2">
        <v>11</v>
      </c>
      <c r="D228" s="5">
        <v>46026.500694444447</v>
      </c>
      <c r="E228" s="2">
        <v>1499</v>
      </c>
      <c r="F228" s="3" t="s">
        <v>78</v>
      </c>
      <c r="G228" s="3" t="s">
        <v>79</v>
      </c>
      <c r="H228" s="2">
        <v>79</v>
      </c>
      <c r="I228" s="6"/>
    </row>
    <row r="229">
      <c r="A229" s="3" t="s">
        <v>296</v>
      </c>
      <c r="B229" s="2">
        <v>186</v>
      </c>
      <c r="C229" s="2">
        <v>6</v>
      </c>
      <c r="D229" s="5">
        <v>46037.956944444442</v>
      </c>
      <c r="E229" s="2">
        <v>49</v>
      </c>
      <c r="F229" s="3" t="s">
        <v>63</v>
      </c>
      <c r="G229" s="3" t="s">
        <v>64</v>
      </c>
      <c r="H229" s="2">
        <v>55</v>
      </c>
      <c r="I229" s="6"/>
    </row>
    <row r="230">
      <c r="A230" s="3" t="s">
        <v>297</v>
      </c>
      <c r="B230" s="2">
        <v>224</v>
      </c>
      <c r="C230" s="2">
        <v>38</v>
      </c>
      <c r="D230" s="5">
        <v>46050.135416666664</v>
      </c>
      <c r="E230" s="2">
        <v>299</v>
      </c>
      <c r="F230" s="3" t="s">
        <v>63</v>
      </c>
      <c r="G230" s="3" t="s">
        <v>79</v>
      </c>
      <c r="H230" s="2">
        <v>51</v>
      </c>
      <c r="I230" s="6"/>
    </row>
    <row r="231">
      <c r="A231" s="3" t="s">
        <v>298</v>
      </c>
      <c r="B231" s="2">
        <v>159</v>
      </c>
      <c r="C231" s="2">
        <v>22</v>
      </c>
      <c r="D231" s="5">
        <v>46039.100694444445</v>
      </c>
      <c r="E231" s="2">
        <v>799</v>
      </c>
      <c r="F231" s="3" t="s">
        <v>66</v>
      </c>
      <c r="G231" s="3" t="s">
        <v>64</v>
      </c>
      <c r="H231" s="2">
        <v>28</v>
      </c>
      <c r="I231" s="6"/>
    </row>
    <row r="232">
      <c r="A232" s="3" t="s">
        <v>299</v>
      </c>
      <c r="B232" s="2">
        <v>262</v>
      </c>
      <c r="C232" s="2">
        <v>8</v>
      </c>
      <c r="D232" s="5">
        <v>46033.211111111108</v>
      </c>
      <c r="E232" s="2">
        <v>149</v>
      </c>
      <c r="F232" s="3" t="s">
        <v>66</v>
      </c>
      <c r="G232" s="3" t="s">
        <v>64</v>
      </c>
      <c r="H232" s="2">
        <v>67</v>
      </c>
      <c r="I232" s="6"/>
    </row>
    <row r="233">
      <c r="A233" s="3" t="s">
        <v>300</v>
      </c>
      <c r="B233" s="2">
        <v>179</v>
      </c>
      <c r="C233" s="2">
        <v>23</v>
      </c>
      <c r="D233" s="5">
        <v>46039.289583333331</v>
      </c>
      <c r="E233" s="2">
        <v>49</v>
      </c>
      <c r="F233" s="3" t="s">
        <v>63</v>
      </c>
      <c r="G233" s="3" t="s">
        <v>64</v>
      </c>
      <c r="H233" s="2">
        <v>93</v>
      </c>
      <c r="I233" s="6"/>
    </row>
    <row r="234">
      <c r="A234" s="3" t="s">
        <v>301</v>
      </c>
      <c r="B234" s="2">
        <v>76</v>
      </c>
      <c r="C234" s="2">
        <v>16</v>
      </c>
      <c r="D234" s="5">
        <v>46049.869444444441</v>
      </c>
      <c r="E234" s="2">
        <v>299</v>
      </c>
      <c r="F234" s="3" t="s">
        <v>66</v>
      </c>
      <c r="G234" s="3" t="s">
        <v>64</v>
      </c>
      <c r="H234" s="2">
        <v>13</v>
      </c>
      <c r="I234" s="6"/>
    </row>
    <row r="235">
      <c r="A235" s="3" t="s">
        <v>302</v>
      </c>
      <c r="B235" s="2">
        <v>89</v>
      </c>
      <c r="C235" s="2">
        <v>39</v>
      </c>
      <c r="D235" s="5">
        <v>46027.341666666667</v>
      </c>
      <c r="E235" s="2">
        <v>299</v>
      </c>
      <c r="F235" s="3" t="s">
        <v>66</v>
      </c>
      <c r="G235" s="3" t="s">
        <v>64</v>
      </c>
      <c r="H235" s="2">
        <v>19</v>
      </c>
      <c r="I235" s="6"/>
    </row>
    <row r="236">
      <c r="A236" s="3" t="s">
        <v>303</v>
      </c>
      <c r="B236" s="2">
        <v>91</v>
      </c>
      <c r="C236" s="2">
        <v>32</v>
      </c>
      <c r="D236" s="5">
        <v>46047.836111111108</v>
      </c>
      <c r="E236" s="2">
        <v>49</v>
      </c>
      <c r="F236" s="3" t="s">
        <v>66</v>
      </c>
      <c r="G236" s="3" t="s">
        <v>64</v>
      </c>
      <c r="H236" s="2">
        <v>59</v>
      </c>
      <c r="I236" s="6"/>
    </row>
    <row r="237">
      <c r="A237" s="3" t="s">
        <v>304</v>
      </c>
      <c r="B237" s="2">
        <v>297</v>
      </c>
      <c r="C237" s="2">
        <v>29</v>
      </c>
      <c r="D237" s="5">
        <v>46047.783333333333</v>
      </c>
      <c r="E237" s="2">
        <v>99</v>
      </c>
      <c r="F237" s="3" t="s">
        <v>78</v>
      </c>
      <c r="G237" s="3" t="s">
        <v>92</v>
      </c>
      <c r="H237" s="2">
        <v>87</v>
      </c>
      <c r="I237" s="6"/>
    </row>
    <row r="238">
      <c r="A238" s="3" t="s">
        <v>305</v>
      </c>
      <c r="B238" s="2">
        <v>326</v>
      </c>
      <c r="C238" s="2">
        <v>40</v>
      </c>
      <c r="D238" s="5">
        <v>46052.77847222222</v>
      </c>
      <c r="E238" s="2">
        <v>499</v>
      </c>
      <c r="F238" s="3" t="s">
        <v>78</v>
      </c>
      <c r="G238" s="3" t="s">
        <v>64</v>
      </c>
      <c r="H238" s="2">
        <v>41</v>
      </c>
      <c r="I238" s="6"/>
    </row>
    <row r="239">
      <c r="A239" s="3" t="s">
        <v>306</v>
      </c>
      <c r="B239" s="2">
        <v>78</v>
      </c>
      <c r="C239" s="2">
        <v>29</v>
      </c>
      <c r="D239" s="5">
        <v>46050.847222222219</v>
      </c>
      <c r="E239" s="2">
        <v>149</v>
      </c>
      <c r="F239" s="3" t="s">
        <v>66</v>
      </c>
      <c r="G239" s="3" t="s">
        <v>64</v>
      </c>
      <c r="H239" s="2">
        <v>8</v>
      </c>
      <c r="I239" s="6"/>
    </row>
    <row r="240">
      <c r="A240" s="3" t="s">
        <v>307</v>
      </c>
      <c r="B240" s="2">
        <v>156</v>
      </c>
      <c r="C240" s="2">
        <v>18</v>
      </c>
      <c r="D240" s="5">
        <v>46038.611111111109</v>
      </c>
      <c r="E240" s="2">
        <v>2999</v>
      </c>
      <c r="F240" s="3" t="s">
        <v>78</v>
      </c>
      <c r="G240" s="3" t="s">
        <v>64</v>
      </c>
      <c r="H240" s="2">
        <v>75</v>
      </c>
      <c r="I240" s="6"/>
    </row>
    <row r="241">
      <c r="A241" s="3" t="s">
        <v>308</v>
      </c>
      <c r="B241" s="2">
        <v>38</v>
      </c>
      <c r="C241" s="2">
        <v>20</v>
      </c>
      <c r="D241" s="5">
        <v>46024.480555555558</v>
      </c>
      <c r="E241" s="2">
        <v>49</v>
      </c>
      <c r="F241" s="3" t="s">
        <v>63</v>
      </c>
      <c r="G241" s="3" t="s">
        <v>79</v>
      </c>
      <c r="H241" s="2">
        <v>59</v>
      </c>
      <c r="I241" s="6"/>
    </row>
    <row r="242">
      <c r="A242" s="3" t="s">
        <v>309</v>
      </c>
      <c r="B242" s="2">
        <v>189</v>
      </c>
      <c r="C242" s="2">
        <v>19</v>
      </c>
      <c r="D242" s="5">
        <v>46037.043749999997</v>
      </c>
      <c r="E242" s="2">
        <v>99</v>
      </c>
      <c r="F242" s="3" t="s">
        <v>66</v>
      </c>
      <c r="G242" s="3" t="s">
        <v>79</v>
      </c>
      <c r="H242" s="2">
        <v>9</v>
      </c>
      <c r="I242" s="6"/>
    </row>
    <row r="243">
      <c r="A243" s="3" t="s">
        <v>310</v>
      </c>
      <c r="B243" s="2">
        <v>305</v>
      </c>
      <c r="C243" s="2">
        <v>33</v>
      </c>
      <c r="D243" s="5">
        <v>46043.11041666667</v>
      </c>
      <c r="E243" s="2">
        <v>299</v>
      </c>
      <c r="F243" s="3" t="s">
        <v>78</v>
      </c>
      <c r="G243" s="3" t="s">
        <v>64</v>
      </c>
      <c r="H243" s="2">
        <v>49</v>
      </c>
      <c r="I243" s="6"/>
    </row>
    <row r="244">
      <c r="A244" s="3" t="s">
        <v>311</v>
      </c>
      <c r="B244" s="2">
        <v>22</v>
      </c>
      <c r="C244" s="2">
        <v>29</v>
      </c>
      <c r="D244" s="5">
        <v>46037.774305555555</v>
      </c>
      <c r="E244" s="2">
        <v>799</v>
      </c>
      <c r="F244" s="3" t="s">
        <v>66</v>
      </c>
      <c r="G244" s="3" t="s">
        <v>64</v>
      </c>
      <c r="H244" s="2">
        <v>73</v>
      </c>
      <c r="I244" s="6"/>
    </row>
    <row r="245">
      <c r="A245" s="3" t="s">
        <v>312</v>
      </c>
      <c r="B245" s="2">
        <v>310</v>
      </c>
      <c r="C245" s="2">
        <v>31</v>
      </c>
      <c r="D245" s="5">
        <v>46043.263888888891</v>
      </c>
      <c r="E245" s="2">
        <v>49</v>
      </c>
      <c r="F245" s="3" t="s">
        <v>78</v>
      </c>
      <c r="G245" s="3" t="s">
        <v>64</v>
      </c>
      <c r="H245" s="2">
        <v>64</v>
      </c>
      <c r="I245" s="6"/>
    </row>
    <row r="246">
      <c r="A246" s="3" t="s">
        <v>313</v>
      </c>
      <c r="B246" s="2">
        <v>53</v>
      </c>
      <c r="C246" s="2">
        <v>22</v>
      </c>
      <c r="D246" s="5">
        <v>46027.061111111114</v>
      </c>
      <c r="E246" s="2">
        <v>299</v>
      </c>
      <c r="F246" s="3" t="s">
        <v>66</v>
      </c>
      <c r="G246" s="3" t="s">
        <v>64</v>
      </c>
      <c r="H246" s="2">
        <v>91</v>
      </c>
      <c r="I246" s="6"/>
    </row>
    <row r="247">
      <c r="A247" s="3" t="s">
        <v>314</v>
      </c>
      <c r="B247" s="2">
        <v>89</v>
      </c>
      <c r="C247" s="2">
        <v>3</v>
      </c>
      <c r="D247" s="5">
        <v>46025.695138888892</v>
      </c>
      <c r="E247" s="2">
        <v>149</v>
      </c>
      <c r="F247" s="3" t="s">
        <v>78</v>
      </c>
      <c r="G247" s="3" t="s">
        <v>64</v>
      </c>
      <c r="H247" s="2">
        <v>31</v>
      </c>
      <c r="I247" s="6"/>
    </row>
    <row r="248">
      <c r="A248" s="3" t="s">
        <v>315</v>
      </c>
      <c r="B248" s="2">
        <v>269</v>
      </c>
      <c r="C248" s="2">
        <v>34</v>
      </c>
      <c r="D248" s="5">
        <v>46045.602777777778</v>
      </c>
      <c r="E248" s="2">
        <v>149</v>
      </c>
      <c r="F248" s="3" t="s">
        <v>66</v>
      </c>
      <c r="G248" s="3" t="s">
        <v>64</v>
      </c>
      <c r="H248" s="2">
        <v>78</v>
      </c>
      <c r="I248" s="6"/>
    </row>
    <row r="249">
      <c r="A249" s="3" t="s">
        <v>316</v>
      </c>
      <c r="B249" s="2">
        <v>145</v>
      </c>
      <c r="C249" s="2">
        <v>25</v>
      </c>
      <c r="D249" s="5">
        <v>46028.474305555559</v>
      </c>
      <c r="E249" s="2">
        <v>799</v>
      </c>
      <c r="F249" s="3" t="s">
        <v>66</v>
      </c>
      <c r="G249" s="3" t="s">
        <v>64</v>
      </c>
      <c r="H249" s="2">
        <v>52</v>
      </c>
      <c r="I249" s="6"/>
    </row>
    <row r="250">
      <c r="A250" s="3" t="s">
        <v>317</v>
      </c>
      <c r="B250" s="2">
        <v>307</v>
      </c>
      <c r="C250" s="2">
        <v>4</v>
      </c>
      <c r="D250" s="5">
        <v>46047.446527777778</v>
      </c>
      <c r="E250" s="2">
        <v>1499</v>
      </c>
      <c r="F250" s="3" t="s">
        <v>66</v>
      </c>
      <c r="G250" s="3" t="s">
        <v>64</v>
      </c>
      <c r="H250" s="2">
        <v>80</v>
      </c>
      <c r="I250" s="6"/>
    </row>
    <row r="251">
      <c r="A251" s="3" t="s">
        <v>318</v>
      </c>
      <c r="B251" s="2">
        <v>169</v>
      </c>
      <c r="C251" s="2">
        <v>7</v>
      </c>
      <c r="D251" s="5">
        <v>46043.419444444444</v>
      </c>
      <c r="E251" s="2">
        <v>1499</v>
      </c>
      <c r="F251" s="3" t="s">
        <v>63</v>
      </c>
      <c r="G251" s="3" t="s">
        <v>64</v>
      </c>
      <c r="H251" s="2">
        <v>71</v>
      </c>
      <c r="I251" s="6"/>
    </row>
    <row r="252">
      <c r="A252" s="3" t="s">
        <v>319</v>
      </c>
      <c r="B252" s="2">
        <v>130</v>
      </c>
      <c r="C252" s="2">
        <v>39</v>
      </c>
      <c r="D252" s="5">
        <v>46044.512499999997</v>
      </c>
      <c r="E252" s="2">
        <v>2999</v>
      </c>
      <c r="F252" s="3" t="s">
        <v>63</v>
      </c>
      <c r="G252" s="3" t="s">
        <v>64</v>
      </c>
      <c r="H252" s="2">
        <v>19</v>
      </c>
      <c r="I252" s="6"/>
    </row>
    <row r="253">
      <c r="A253" s="3" t="s">
        <v>320</v>
      </c>
      <c r="B253" s="2">
        <v>340</v>
      </c>
      <c r="C253" s="2">
        <v>10</v>
      </c>
      <c r="D253" s="5">
        <v>46033.109027777777</v>
      </c>
      <c r="E253" s="2">
        <v>49</v>
      </c>
      <c r="F253" s="3" t="s">
        <v>78</v>
      </c>
      <c r="G253" s="3" t="s">
        <v>64</v>
      </c>
      <c r="H253" s="2">
        <v>44</v>
      </c>
      <c r="I253" s="6"/>
    </row>
    <row r="254">
      <c r="A254" s="3" t="s">
        <v>321</v>
      </c>
      <c r="B254" s="2">
        <v>340</v>
      </c>
      <c r="C254" s="2">
        <v>26</v>
      </c>
      <c r="D254" s="5">
        <v>46032.863888888889</v>
      </c>
      <c r="E254" s="2">
        <v>299</v>
      </c>
      <c r="F254" s="3" t="s">
        <v>78</v>
      </c>
      <c r="G254" s="3" t="s">
        <v>64</v>
      </c>
      <c r="H254" s="2">
        <v>16</v>
      </c>
      <c r="I254" s="6"/>
    </row>
    <row r="255">
      <c r="A255" s="3" t="s">
        <v>322</v>
      </c>
      <c r="B255" s="2">
        <v>159</v>
      </c>
      <c r="C255" s="2">
        <v>36</v>
      </c>
      <c r="D255" s="5">
        <v>46042.920138888891</v>
      </c>
      <c r="E255" s="2">
        <v>49</v>
      </c>
      <c r="F255" s="3" t="s">
        <v>66</v>
      </c>
      <c r="G255" s="3" t="s">
        <v>64</v>
      </c>
      <c r="H255" s="2">
        <v>48</v>
      </c>
      <c r="I255" s="6"/>
    </row>
    <row r="256">
      <c r="A256" s="3" t="s">
        <v>323</v>
      </c>
      <c r="B256" s="2">
        <v>66</v>
      </c>
      <c r="C256" s="2">
        <v>34</v>
      </c>
      <c r="D256" s="5">
        <v>46043.452777777777</v>
      </c>
      <c r="E256" s="2">
        <v>799</v>
      </c>
      <c r="F256" s="3" t="s">
        <v>66</v>
      </c>
      <c r="G256" s="3" t="s">
        <v>64</v>
      </c>
      <c r="H256" s="2">
        <v>11</v>
      </c>
      <c r="I256" s="6"/>
    </row>
    <row r="257">
      <c r="A257" s="3" t="s">
        <v>324</v>
      </c>
      <c r="B257" s="2">
        <v>261</v>
      </c>
      <c r="C257" s="2">
        <v>24</v>
      </c>
      <c r="D257" s="5">
        <v>46043.893750000003</v>
      </c>
      <c r="E257" s="2">
        <v>799</v>
      </c>
      <c r="F257" s="3" t="s">
        <v>78</v>
      </c>
      <c r="G257" s="3" t="s">
        <v>64</v>
      </c>
      <c r="H257" s="2">
        <v>2</v>
      </c>
      <c r="I257" s="6"/>
    </row>
    <row r="258">
      <c r="A258" s="3" t="s">
        <v>325</v>
      </c>
      <c r="B258" s="2">
        <v>110</v>
      </c>
      <c r="C258" s="2">
        <v>22</v>
      </c>
      <c r="D258" s="5">
        <v>46034.382638888892</v>
      </c>
      <c r="E258" s="2">
        <v>799</v>
      </c>
      <c r="F258" s="3" t="s">
        <v>66</v>
      </c>
      <c r="G258" s="3" t="s">
        <v>64</v>
      </c>
      <c r="H258" s="2">
        <v>98</v>
      </c>
      <c r="I258" s="6"/>
    </row>
    <row r="259">
      <c r="A259" s="3" t="s">
        <v>326</v>
      </c>
      <c r="B259" s="2">
        <v>71</v>
      </c>
      <c r="C259" s="2">
        <v>10</v>
      </c>
      <c r="D259" s="5">
        <v>46038.259722222225</v>
      </c>
      <c r="E259" s="2">
        <v>49</v>
      </c>
      <c r="F259" s="3" t="s">
        <v>66</v>
      </c>
      <c r="G259" s="3" t="s">
        <v>64</v>
      </c>
      <c r="H259" s="2">
        <v>9</v>
      </c>
      <c r="I259" s="6"/>
    </row>
    <row r="260">
      <c r="A260" s="3" t="s">
        <v>327</v>
      </c>
      <c r="B260" s="2">
        <v>277</v>
      </c>
      <c r="C260" s="2">
        <v>34</v>
      </c>
      <c r="D260" s="5">
        <v>46032.147222222222</v>
      </c>
      <c r="E260" s="2">
        <v>49</v>
      </c>
      <c r="F260" s="3" t="s">
        <v>66</v>
      </c>
      <c r="G260" s="3" t="s">
        <v>64</v>
      </c>
      <c r="H260" s="2">
        <v>4</v>
      </c>
      <c r="I260" s="6"/>
    </row>
    <row r="261">
      <c r="A261" s="3" t="s">
        <v>328</v>
      </c>
      <c r="B261" s="2">
        <v>317</v>
      </c>
      <c r="C261" s="2">
        <v>9</v>
      </c>
      <c r="D261" s="5">
        <v>46044.455555555556</v>
      </c>
      <c r="E261" s="2">
        <v>499</v>
      </c>
      <c r="F261" s="3" t="s">
        <v>63</v>
      </c>
      <c r="G261" s="3" t="s">
        <v>64</v>
      </c>
      <c r="H261" s="2">
        <v>76</v>
      </c>
      <c r="I261" s="6"/>
    </row>
    <row r="262">
      <c r="A262" s="3" t="s">
        <v>329</v>
      </c>
      <c r="B262" s="2">
        <v>93</v>
      </c>
      <c r="C262" s="2">
        <v>40</v>
      </c>
      <c r="D262" s="5">
        <v>46035.173611111109</v>
      </c>
      <c r="E262" s="2">
        <v>299</v>
      </c>
      <c r="F262" s="3" t="s">
        <v>66</v>
      </c>
      <c r="G262" s="3" t="s">
        <v>64</v>
      </c>
      <c r="H262" s="2">
        <v>21</v>
      </c>
      <c r="I262" s="6"/>
    </row>
    <row r="263">
      <c r="A263" s="3" t="s">
        <v>330</v>
      </c>
      <c r="B263" s="2">
        <v>211</v>
      </c>
      <c r="C263" s="2">
        <v>24</v>
      </c>
      <c r="D263" s="5">
        <v>46046.584722222222</v>
      </c>
      <c r="E263" s="2">
        <v>99</v>
      </c>
      <c r="F263" s="3" t="s">
        <v>69</v>
      </c>
      <c r="G263" s="3" t="s">
        <v>64</v>
      </c>
      <c r="H263" s="2">
        <v>86</v>
      </c>
      <c r="I263" s="6"/>
    </row>
    <row r="264">
      <c r="A264" s="3" t="s">
        <v>331</v>
      </c>
      <c r="B264" s="2">
        <v>313</v>
      </c>
      <c r="C264" s="2">
        <v>19</v>
      </c>
      <c r="D264" s="5">
        <v>46046.311111111114</v>
      </c>
      <c r="E264" s="2">
        <v>149</v>
      </c>
      <c r="F264" s="3" t="s">
        <v>66</v>
      </c>
      <c r="G264" s="3" t="s">
        <v>64</v>
      </c>
      <c r="H264" s="2">
        <v>96</v>
      </c>
      <c r="I264" s="6"/>
    </row>
    <row r="265">
      <c r="A265" s="3" t="s">
        <v>332</v>
      </c>
      <c r="B265" s="2">
        <v>274</v>
      </c>
      <c r="C265" s="2">
        <v>16</v>
      </c>
      <c r="D265" s="5">
        <v>46046.593055555553</v>
      </c>
      <c r="E265" s="2">
        <v>49</v>
      </c>
      <c r="F265" s="3" t="s">
        <v>63</v>
      </c>
      <c r="G265" s="3" t="s">
        <v>79</v>
      </c>
      <c r="H265" s="2">
        <v>39</v>
      </c>
      <c r="I265" s="6"/>
    </row>
    <row r="266">
      <c r="A266" s="3" t="s">
        <v>333</v>
      </c>
      <c r="B266" s="2">
        <v>100</v>
      </c>
      <c r="C266" s="2">
        <v>24</v>
      </c>
      <c r="D266" s="5">
        <v>46048.664583333331</v>
      </c>
      <c r="E266" s="2">
        <v>299</v>
      </c>
      <c r="F266" s="3" t="s">
        <v>66</v>
      </c>
      <c r="G266" s="3" t="s">
        <v>64</v>
      </c>
      <c r="H266" s="2">
        <v>86</v>
      </c>
      <c r="I266" s="6"/>
    </row>
    <row r="267">
      <c r="A267" s="3" t="s">
        <v>334</v>
      </c>
      <c r="B267" s="2">
        <v>145</v>
      </c>
      <c r="C267" s="2">
        <v>25</v>
      </c>
      <c r="D267" s="5">
        <v>46041.603472222225</v>
      </c>
      <c r="E267" s="2">
        <v>2999</v>
      </c>
      <c r="F267" s="3" t="s">
        <v>63</v>
      </c>
      <c r="G267" s="3" t="s">
        <v>64</v>
      </c>
      <c r="H267" s="2">
        <v>64</v>
      </c>
      <c r="I267" s="6"/>
    </row>
    <row r="268">
      <c r="A268" s="3" t="s">
        <v>335</v>
      </c>
      <c r="B268" s="2">
        <v>103</v>
      </c>
      <c r="C268" s="2">
        <v>39</v>
      </c>
      <c r="D268" s="5">
        <v>46039.548611111109</v>
      </c>
      <c r="E268" s="2">
        <v>2999</v>
      </c>
      <c r="F268" s="3" t="s">
        <v>63</v>
      </c>
      <c r="G268" s="3" t="s">
        <v>64</v>
      </c>
      <c r="H268" s="2">
        <v>17</v>
      </c>
      <c r="I268" s="6"/>
    </row>
    <row r="269">
      <c r="A269" s="3" t="s">
        <v>336</v>
      </c>
      <c r="B269" s="2">
        <v>329</v>
      </c>
      <c r="C269" s="2">
        <v>31</v>
      </c>
      <c r="D269" s="5">
        <v>46050.335416666669</v>
      </c>
      <c r="E269" s="2">
        <v>299</v>
      </c>
      <c r="F269" s="3" t="s">
        <v>63</v>
      </c>
      <c r="G269" s="3" t="s">
        <v>64</v>
      </c>
      <c r="H269" s="2">
        <v>47</v>
      </c>
      <c r="I269" s="6"/>
    </row>
    <row r="270">
      <c r="A270" s="3" t="s">
        <v>337</v>
      </c>
      <c r="B270" s="2">
        <v>265</v>
      </c>
      <c r="C270" s="2">
        <v>8</v>
      </c>
      <c r="D270" s="5">
        <v>46040.15625</v>
      </c>
      <c r="E270" s="2">
        <v>499</v>
      </c>
      <c r="F270" s="3" t="s">
        <v>69</v>
      </c>
      <c r="G270" s="3" t="s">
        <v>64</v>
      </c>
      <c r="H270" s="2">
        <v>36</v>
      </c>
      <c r="I270" s="6"/>
    </row>
    <row r="271">
      <c r="A271" s="3" t="s">
        <v>338</v>
      </c>
      <c r="B271" s="2">
        <v>231</v>
      </c>
      <c r="C271" s="2">
        <v>33</v>
      </c>
      <c r="D271" s="5">
        <v>46025.220138888886</v>
      </c>
      <c r="E271" s="2">
        <v>149</v>
      </c>
      <c r="F271" s="3" t="s">
        <v>66</v>
      </c>
      <c r="G271" s="3" t="s">
        <v>79</v>
      </c>
      <c r="H271" s="2">
        <v>18</v>
      </c>
      <c r="I271" s="6"/>
    </row>
    <row r="272">
      <c r="A272" s="3" t="s">
        <v>339</v>
      </c>
      <c r="B272" s="2">
        <v>114</v>
      </c>
      <c r="C272" s="2">
        <v>29</v>
      </c>
      <c r="D272" s="5">
        <v>46049.545138888891</v>
      </c>
      <c r="E272" s="2">
        <v>799</v>
      </c>
      <c r="F272" s="3" t="s">
        <v>66</v>
      </c>
      <c r="G272" s="3" t="s">
        <v>92</v>
      </c>
      <c r="H272" s="2">
        <v>44</v>
      </c>
      <c r="I272" s="6"/>
    </row>
    <row r="273">
      <c r="A273" s="3" t="s">
        <v>340</v>
      </c>
      <c r="B273" s="2">
        <v>28</v>
      </c>
      <c r="C273" s="2">
        <v>26</v>
      </c>
      <c r="D273" s="5">
        <v>46052.018055555556</v>
      </c>
      <c r="E273" s="2">
        <v>1499</v>
      </c>
      <c r="F273" s="3" t="s">
        <v>66</v>
      </c>
      <c r="G273" s="3" t="s">
        <v>79</v>
      </c>
      <c r="H273" s="2">
        <v>64</v>
      </c>
      <c r="I273" s="6"/>
    </row>
    <row r="274">
      <c r="A274" s="3" t="s">
        <v>341</v>
      </c>
      <c r="B274" s="2">
        <v>42</v>
      </c>
      <c r="C274" s="2">
        <v>24</v>
      </c>
      <c r="D274" s="5">
        <v>46034.308333333334</v>
      </c>
      <c r="E274" s="2">
        <v>149</v>
      </c>
      <c r="F274" s="3" t="s">
        <v>66</v>
      </c>
      <c r="G274" s="3" t="s">
        <v>64</v>
      </c>
      <c r="H274" s="2">
        <v>28</v>
      </c>
      <c r="I274" s="6"/>
    </row>
    <row r="275">
      <c r="A275" s="3" t="s">
        <v>342</v>
      </c>
      <c r="B275" s="2">
        <v>51</v>
      </c>
      <c r="C275" s="2">
        <v>22</v>
      </c>
      <c r="D275" s="5">
        <v>46023.457638888889</v>
      </c>
      <c r="E275" s="2">
        <v>799</v>
      </c>
      <c r="F275" s="3" t="s">
        <v>66</v>
      </c>
      <c r="G275" s="3" t="s">
        <v>64</v>
      </c>
      <c r="H275" s="2">
        <v>18</v>
      </c>
      <c r="I275" s="6"/>
    </row>
    <row r="276">
      <c r="A276" s="3" t="s">
        <v>343</v>
      </c>
      <c r="B276" s="2">
        <v>242</v>
      </c>
      <c r="C276" s="2">
        <v>9</v>
      </c>
      <c r="D276" s="5">
        <v>46027.054166666669</v>
      </c>
      <c r="E276" s="2">
        <v>149</v>
      </c>
      <c r="F276" s="3" t="s">
        <v>66</v>
      </c>
      <c r="G276" s="3" t="s">
        <v>64</v>
      </c>
      <c r="H276" s="2">
        <v>97</v>
      </c>
      <c r="I276" s="6"/>
    </row>
    <row r="277">
      <c r="A277" s="3" t="s">
        <v>344</v>
      </c>
      <c r="B277" s="2">
        <v>316</v>
      </c>
      <c r="C277" s="2">
        <v>1</v>
      </c>
      <c r="D277" s="5">
        <v>46045.644444444442</v>
      </c>
      <c r="E277" s="2">
        <v>149</v>
      </c>
      <c r="F277" s="3" t="s">
        <v>66</v>
      </c>
      <c r="G277" s="3" t="s">
        <v>64</v>
      </c>
      <c r="H277" s="2">
        <v>10</v>
      </c>
      <c r="I277" s="6"/>
    </row>
    <row r="278">
      <c r="A278" s="3" t="s">
        <v>345</v>
      </c>
      <c r="B278" s="2">
        <v>77</v>
      </c>
      <c r="C278" s="2">
        <v>36</v>
      </c>
      <c r="D278" s="5">
        <v>46023.342361111114</v>
      </c>
      <c r="E278" s="2">
        <v>149</v>
      </c>
      <c r="F278" s="3" t="s">
        <v>66</v>
      </c>
      <c r="G278" s="3" t="s">
        <v>64</v>
      </c>
      <c r="H278" s="2">
        <v>93</v>
      </c>
      <c r="I278" s="6"/>
    </row>
    <row r="279">
      <c r="A279" s="3" t="s">
        <v>346</v>
      </c>
      <c r="B279" s="2">
        <v>57</v>
      </c>
      <c r="C279" s="2">
        <v>19</v>
      </c>
      <c r="D279" s="5">
        <v>46042.685416666667</v>
      </c>
      <c r="E279" s="2">
        <v>49</v>
      </c>
      <c r="F279" s="3" t="s">
        <v>66</v>
      </c>
      <c r="G279" s="3" t="s">
        <v>64</v>
      </c>
      <c r="H279" s="2">
        <v>30</v>
      </c>
      <c r="I279" s="6"/>
    </row>
    <row r="280">
      <c r="A280" s="3" t="s">
        <v>347</v>
      </c>
      <c r="B280" s="2">
        <v>123</v>
      </c>
      <c r="C280" s="2">
        <v>27</v>
      </c>
      <c r="D280" s="5">
        <v>46032.127083333333</v>
      </c>
      <c r="E280" s="2">
        <v>149</v>
      </c>
      <c r="F280" s="3" t="s">
        <v>69</v>
      </c>
      <c r="G280" s="3" t="s">
        <v>64</v>
      </c>
      <c r="H280" s="2">
        <v>81</v>
      </c>
      <c r="I280" s="6"/>
    </row>
    <row r="281">
      <c r="A281" s="3" t="s">
        <v>348</v>
      </c>
      <c r="B281" s="2">
        <v>33</v>
      </c>
      <c r="C281" s="2">
        <v>8</v>
      </c>
      <c r="D281" s="5">
        <v>46048.811805555553</v>
      </c>
      <c r="E281" s="2">
        <v>299</v>
      </c>
      <c r="F281" s="3" t="s">
        <v>63</v>
      </c>
      <c r="G281" s="3" t="s">
        <v>64</v>
      </c>
      <c r="H281" s="2">
        <v>63</v>
      </c>
      <c r="I281" s="6"/>
    </row>
    <row r="282">
      <c r="A282" s="3" t="s">
        <v>349</v>
      </c>
      <c r="B282" s="2">
        <v>324</v>
      </c>
      <c r="C282" s="2">
        <v>33</v>
      </c>
      <c r="D282" s="5">
        <v>46042.709027777775</v>
      </c>
      <c r="E282" s="2">
        <v>499</v>
      </c>
      <c r="F282" s="3" t="s">
        <v>66</v>
      </c>
      <c r="G282" s="3" t="s">
        <v>64</v>
      </c>
      <c r="H282" s="2">
        <v>73</v>
      </c>
      <c r="I282" s="6"/>
    </row>
    <row r="283">
      <c r="A283" s="3" t="s">
        <v>350</v>
      </c>
      <c r="B283" s="2">
        <v>150</v>
      </c>
      <c r="C283" s="2">
        <v>28</v>
      </c>
      <c r="D283" s="5">
        <v>46030.92291666667</v>
      </c>
      <c r="E283" s="2">
        <v>49</v>
      </c>
      <c r="F283" s="3" t="s">
        <v>66</v>
      </c>
      <c r="G283" s="3" t="s">
        <v>79</v>
      </c>
      <c r="H283" s="2">
        <v>0</v>
      </c>
      <c r="I283" s="6"/>
    </row>
    <row r="284">
      <c r="A284" s="3" t="s">
        <v>351</v>
      </c>
      <c r="B284" s="2">
        <v>293</v>
      </c>
      <c r="C284" s="2">
        <v>27</v>
      </c>
      <c r="D284" s="5">
        <v>46042.46875</v>
      </c>
      <c r="E284" s="2">
        <v>4999</v>
      </c>
      <c r="F284" s="3" t="s">
        <v>66</v>
      </c>
      <c r="G284" s="3" t="s">
        <v>64</v>
      </c>
      <c r="H284" s="2">
        <v>23</v>
      </c>
      <c r="I284" s="6"/>
    </row>
    <row r="285">
      <c r="A285" s="3" t="s">
        <v>352</v>
      </c>
      <c r="B285" s="2">
        <v>269</v>
      </c>
      <c r="C285" s="2">
        <v>24</v>
      </c>
      <c r="D285" s="5">
        <v>46044.878472222219</v>
      </c>
      <c r="E285" s="2">
        <v>49</v>
      </c>
      <c r="F285" s="3" t="s">
        <v>63</v>
      </c>
      <c r="G285" s="3" t="s">
        <v>64</v>
      </c>
      <c r="H285" s="2">
        <v>8</v>
      </c>
      <c r="I285" s="6"/>
    </row>
    <row r="286">
      <c r="A286" s="3" t="s">
        <v>353</v>
      </c>
      <c r="B286" s="2">
        <v>260</v>
      </c>
      <c r="C286" s="2">
        <v>36</v>
      </c>
      <c r="D286" s="5">
        <v>46039.730555555558</v>
      </c>
      <c r="E286" s="2">
        <v>1499</v>
      </c>
      <c r="F286" s="3" t="s">
        <v>66</v>
      </c>
      <c r="G286" s="3" t="s">
        <v>64</v>
      </c>
      <c r="H286" s="2">
        <v>2</v>
      </c>
      <c r="I286" s="6"/>
    </row>
    <row r="287">
      <c r="A287" s="3" t="s">
        <v>354</v>
      </c>
      <c r="B287" s="2">
        <v>326</v>
      </c>
      <c r="C287" s="2">
        <v>25</v>
      </c>
      <c r="D287" s="5">
        <v>46035.626388888886</v>
      </c>
      <c r="E287" s="2">
        <v>49</v>
      </c>
      <c r="F287" s="3" t="s">
        <v>66</v>
      </c>
      <c r="G287" s="3" t="s">
        <v>64</v>
      </c>
      <c r="H287" s="2">
        <v>47</v>
      </c>
      <c r="I287" s="6"/>
    </row>
    <row r="288">
      <c r="A288" s="3" t="s">
        <v>355</v>
      </c>
      <c r="B288" s="2">
        <v>183</v>
      </c>
      <c r="C288" s="2">
        <v>5</v>
      </c>
      <c r="D288" s="5">
        <v>46031.959027777775</v>
      </c>
      <c r="E288" s="2">
        <v>49</v>
      </c>
      <c r="F288" s="3" t="s">
        <v>78</v>
      </c>
      <c r="G288" s="3" t="s">
        <v>64</v>
      </c>
      <c r="H288" s="2">
        <v>44</v>
      </c>
      <c r="I288" s="6"/>
    </row>
    <row r="289">
      <c r="A289" s="3" t="s">
        <v>356</v>
      </c>
      <c r="B289" s="2">
        <v>322</v>
      </c>
      <c r="C289" s="2">
        <v>7</v>
      </c>
      <c r="D289" s="5">
        <v>46030.987500000003</v>
      </c>
      <c r="E289" s="2">
        <v>299</v>
      </c>
      <c r="F289" s="3" t="s">
        <v>66</v>
      </c>
      <c r="G289" s="3" t="s">
        <v>64</v>
      </c>
      <c r="H289" s="2">
        <v>98</v>
      </c>
      <c r="I289" s="6"/>
    </row>
    <row r="290">
      <c r="A290" s="3" t="s">
        <v>357</v>
      </c>
      <c r="B290" s="2">
        <v>171</v>
      </c>
      <c r="C290" s="2">
        <v>9</v>
      </c>
      <c r="D290" s="5">
        <v>46041.991666666669</v>
      </c>
      <c r="E290" s="2">
        <v>299</v>
      </c>
      <c r="F290" s="3" t="s">
        <v>66</v>
      </c>
      <c r="G290" s="3" t="s">
        <v>64</v>
      </c>
      <c r="H290" s="2">
        <v>5</v>
      </c>
      <c r="I290" s="6"/>
    </row>
    <row r="291">
      <c r="A291" s="3" t="s">
        <v>358</v>
      </c>
      <c r="B291" s="2">
        <v>330</v>
      </c>
      <c r="C291" s="2">
        <v>12</v>
      </c>
      <c r="D291" s="5">
        <v>46034.722916666666</v>
      </c>
      <c r="E291" s="2">
        <v>1499</v>
      </c>
      <c r="F291" s="3" t="s">
        <v>69</v>
      </c>
      <c r="G291" s="3" t="s">
        <v>64</v>
      </c>
      <c r="H291" s="2">
        <v>99</v>
      </c>
      <c r="I291" s="6"/>
    </row>
    <row r="292">
      <c r="A292" s="3" t="s">
        <v>359</v>
      </c>
      <c r="B292" s="2">
        <v>246</v>
      </c>
      <c r="C292" s="2">
        <v>12</v>
      </c>
      <c r="D292" s="5">
        <v>46044.613888888889</v>
      </c>
      <c r="E292" s="2">
        <v>99</v>
      </c>
      <c r="F292" s="3" t="s">
        <v>63</v>
      </c>
      <c r="G292" s="3" t="s">
        <v>64</v>
      </c>
      <c r="H292" s="2">
        <v>17</v>
      </c>
      <c r="I292" s="6"/>
    </row>
    <row r="293">
      <c r="A293" s="3" t="s">
        <v>360</v>
      </c>
      <c r="B293" s="2">
        <v>235</v>
      </c>
      <c r="C293" s="2">
        <v>3</v>
      </c>
      <c r="D293" s="5">
        <v>46025.950694444444</v>
      </c>
      <c r="E293" s="2">
        <v>49</v>
      </c>
      <c r="F293" s="3" t="s">
        <v>66</v>
      </c>
      <c r="G293" s="3" t="s">
        <v>64</v>
      </c>
      <c r="H293" s="2">
        <v>37</v>
      </c>
      <c r="I293" s="6"/>
    </row>
    <row r="294">
      <c r="A294" s="3" t="s">
        <v>361</v>
      </c>
      <c r="B294" s="2">
        <v>103</v>
      </c>
      <c r="C294" s="2">
        <v>3</v>
      </c>
      <c r="D294" s="5">
        <v>46029.076388888891</v>
      </c>
      <c r="E294" s="2">
        <v>499</v>
      </c>
      <c r="F294" s="3" t="s">
        <v>66</v>
      </c>
      <c r="G294" s="3" t="s">
        <v>64</v>
      </c>
      <c r="H294" s="2">
        <v>40</v>
      </c>
      <c r="I294" s="6"/>
    </row>
    <row r="295">
      <c r="A295" s="3" t="s">
        <v>362</v>
      </c>
      <c r="B295" s="2">
        <v>204</v>
      </c>
      <c r="C295" s="2">
        <v>35</v>
      </c>
      <c r="D295" s="5">
        <v>46052.397222222222</v>
      </c>
      <c r="E295" s="2">
        <v>99</v>
      </c>
      <c r="F295" s="3" t="s">
        <v>63</v>
      </c>
      <c r="G295" s="3" t="s">
        <v>64</v>
      </c>
      <c r="H295" s="2">
        <v>60</v>
      </c>
      <c r="I295" s="6"/>
    </row>
    <row r="296">
      <c r="A296" s="3" t="s">
        <v>363</v>
      </c>
      <c r="B296" s="2">
        <v>332</v>
      </c>
      <c r="C296" s="2">
        <v>13</v>
      </c>
      <c r="D296" s="5">
        <v>46031.074999999997</v>
      </c>
      <c r="E296" s="2">
        <v>49</v>
      </c>
      <c r="F296" s="3" t="s">
        <v>78</v>
      </c>
      <c r="G296" s="3" t="s">
        <v>64</v>
      </c>
      <c r="H296" s="2">
        <v>36</v>
      </c>
      <c r="I296" s="6"/>
    </row>
    <row r="297">
      <c r="A297" s="3" t="s">
        <v>364</v>
      </c>
      <c r="B297" s="2">
        <v>336</v>
      </c>
      <c r="C297" s="2">
        <v>22</v>
      </c>
      <c r="D297" s="5">
        <v>46034.079861111109</v>
      </c>
      <c r="E297" s="2">
        <v>499</v>
      </c>
      <c r="F297" s="3" t="s">
        <v>66</v>
      </c>
      <c r="G297" s="3" t="s">
        <v>64</v>
      </c>
      <c r="H297" s="2">
        <v>34</v>
      </c>
      <c r="I297" s="6"/>
    </row>
    <row r="298">
      <c r="A298" s="3" t="s">
        <v>365</v>
      </c>
      <c r="B298" s="2">
        <v>205</v>
      </c>
      <c r="C298" s="2">
        <v>29</v>
      </c>
      <c r="D298" s="5">
        <v>46026.477083333331</v>
      </c>
      <c r="E298" s="2">
        <v>99</v>
      </c>
      <c r="F298" s="3" t="s">
        <v>63</v>
      </c>
      <c r="G298" s="3" t="s">
        <v>64</v>
      </c>
      <c r="H298" s="2">
        <v>49</v>
      </c>
      <c r="I298" s="6"/>
    </row>
    <row r="299">
      <c r="A299" s="3" t="s">
        <v>366</v>
      </c>
      <c r="B299" s="2">
        <v>255</v>
      </c>
      <c r="C299" s="2">
        <v>24</v>
      </c>
      <c r="D299" s="5">
        <v>46033.229861111111</v>
      </c>
      <c r="E299" s="2">
        <v>799</v>
      </c>
      <c r="F299" s="3" t="s">
        <v>66</v>
      </c>
      <c r="G299" s="3" t="s">
        <v>64</v>
      </c>
      <c r="H299" s="2">
        <v>66</v>
      </c>
      <c r="I299" s="6"/>
    </row>
    <row r="300">
      <c r="A300" s="3" t="s">
        <v>367</v>
      </c>
      <c r="B300" s="2">
        <v>218</v>
      </c>
      <c r="C300" s="2">
        <v>6</v>
      </c>
      <c r="D300" s="5">
        <v>46031.115277777775</v>
      </c>
      <c r="E300" s="2">
        <v>99</v>
      </c>
      <c r="F300" s="3" t="s">
        <v>66</v>
      </c>
      <c r="G300" s="3" t="s">
        <v>64</v>
      </c>
      <c r="H300" s="2">
        <v>55</v>
      </c>
      <c r="I300" s="6"/>
    </row>
    <row r="301">
      <c r="A301" s="3" t="s">
        <v>368</v>
      </c>
      <c r="B301" s="2">
        <v>151</v>
      </c>
      <c r="C301" s="2">
        <v>21</v>
      </c>
      <c r="D301" s="5">
        <v>46042.231944444444</v>
      </c>
      <c r="E301" s="2">
        <v>49</v>
      </c>
      <c r="F301" s="3" t="s">
        <v>66</v>
      </c>
      <c r="G301" s="3" t="s">
        <v>64</v>
      </c>
      <c r="H301" s="2">
        <v>13</v>
      </c>
      <c r="I301" s="6"/>
    </row>
    <row r="302">
      <c r="A302" s="3" t="s">
        <v>369</v>
      </c>
      <c r="B302" s="2">
        <v>152</v>
      </c>
      <c r="C302" s="2">
        <v>20</v>
      </c>
      <c r="D302" s="5">
        <v>46025.445833333331</v>
      </c>
      <c r="E302" s="2">
        <v>49</v>
      </c>
      <c r="F302" s="3" t="s">
        <v>66</v>
      </c>
      <c r="G302" s="3" t="s">
        <v>64</v>
      </c>
      <c r="H302" s="2">
        <v>57</v>
      </c>
      <c r="I302" s="6"/>
    </row>
    <row r="303">
      <c r="A303" s="3" t="s">
        <v>370</v>
      </c>
      <c r="B303" s="2">
        <v>86</v>
      </c>
      <c r="C303" s="2">
        <v>29</v>
      </c>
      <c r="D303" s="5">
        <v>46042.935416666667</v>
      </c>
      <c r="E303" s="2">
        <v>149</v>
      </c>
      <c r="F303" s="3" t="s">
        <v>78</v>
      </c>
      <c r="G303" s="3" t="s">
        <v>64</v>
      </c>
      <c r="H303" s="2">
        <v>44</v>
      </c>
      <c r="I303" s="6"/>
    </row>
    <row r="304">
      <c r="A304" s="3" t="s">
        <v>371</v>
      </c>
      <c r="B304" s="2">
        <v>181</v>
      </c>
      <c r="C304" s="2">
        <v>40</v>
      </c>
      <c r="D304" s="5">
        <v>46037.073611111111</v>
      </c>
      <c r="E304" s="2">
        <v>149</v>
      </c>
      <c r="F304" s="3" t="s">
        <v>66</v>
      </c>
      <c r="G304" s="3" t="s">
        <v>64</v>
      </c>
      <c r="H304" s="2">
        <v>55</v>
      </c>
      <c r="I304" s="6"/>
    </row>
    <row r="305">
      <c r="A305" s="3" t="s">
        <v>372</v>
      </c>
      <c r="B305" s="2">
        <v>30</v>
      </c>
      <c r="C305" s="2">
        <v>5</v>
      </c>
      <c r="D305" s="5">
        <v>46031.868055555555</v>
      </c>
      <c r="E305" s="2">
        <v>299</v>
      </c>
      <c r="F305" s="3" t="s">
        <v>66</v>
      </c>
      <c r="G305" s="3" t="s">
        <v>64</v>
      </c>
      <c r="H305" s="2">
        <v>85</v>
      </c>
      <c r="I305" s="6"/>
    </row>
    <row r="306">
      <c r="A306" s="3" t="s">
        <v>373</v>
      </c>
      <c r="B306" s="2">
        <v>263</v>
      </c>
      <c r="C306" s="2">
        <v>11</v>
      </c>
      <c r="D306" s="5">
        <v>46043.515972222223</v>
      </c>
      <c r="E306" s="2">
        <v>149</v>
      </c>
      <c r="F306" s="3" t="s">
        <v>63</v>
      </c>
      <c r="G306" s="3" t="s">
        <v>64</v>
      </c>
      <c r="H306" s="2">
        <v>3</v>
      </c>
      <c r="I306" s="6"/>
    </row>
    <row r="307">
      <c r="A307" s="3" t="s">
        <v>374</v>
      </c>
      <c r="B307" s="2">
        <v>225</v>
      </c>
      <c r="C307" s="2">
        <v>3</v>
      </c>
      <c r="D307" s="5">
        <v>46027.821527777778</v>
      </c>
      <c r="E307" s="2">
        <v>99</v>
      </c>
      <c r="F307" s="3" t="s">
        <v>69</v>
      </c>
      <c r="G307" s="3" t="s">
        <v>64</v>
      </c>
      <c r="H307" s="2">
        <v>16</v>
      </c>
      <c r="I307" s="6"/>
    </row>
    <row r="308">
      <c r="A308" s="3" t="s">
        <v>375</v>
      </c>
      <c r="B308" s="2">
        <v>331</v>
      </c>
      <c r="C308" s="2">
        <v>24</v>
      </c>
      <c r="D308" s="5">
        <v>46025.325694444444</v>
      </c>
      <c r="E308" s="2">
        <v>49</v>
      </c>
      <c r="F308" s="3" t="s">
        <v>78</v>
      </c>
      <c r="G308" s="3" t="s">
        <v>64</v>
      </c>
      <c r="H308" s="2">
        <v>46</v>
      </c>
      <c r="I308" s="6"/>
    </row>
    <row r="309">
      <c r="A309" s="3" t="s">
        <v>376</v>
      </c>
      <c r="B309" s="2">
        <v>310</v>
      </c>
      <c r="C309" s="2">
        <v>10</v>
      </c>
      <c r="D309" s="5">
        <v>46035.751388888886</v>
      </c>
      <c r="E309" s="2">
        <v>1499</v>
      </c>
      <c r="F309" s="3" t="s">
        <v>78</v>
      </c>
      <c r="G309" s="3" t="s">
        <v>64</v>
      </c>
      <c r="H309" s="2">
        <v>86</v>
      </c>
      <c r="I309" s="6"/>
    </row>
    <row r="310">
      <c r="A310" s="3" t="s">
        <v>377</v>
      </c>
      <c r="B310" s="2">
        <v>228</v>
      </c>
      <c r="C310" s="2">
        <v>5</v>
      </c>
      <c r="D310" s="5">
        <v>46037.474305555559</v>
      </c>
      <c r="E310" s="2">
        <v>49</v>
      </c>
      <c r="F310" s="3" t="s">
        <v>66</v>
      </c>
      <c r="G310" s="3" t="s">
        <v>64</v>
      </c>
      <c r="H310" s="2">
        <v>73</v>
      </c>
      <c r="I310" s="6"/>
    </row>
    <row r="311">
      <c r="A311" s="3" t="s">
        <v>378</v>
      </c>
      <c r="B311" s="2">
        <v>204</v>
      </c>
      <c r="C311" s="2">
        <v>21</v>
      </c>
      <c r="D311" s="5">
        <v>46027.682638888888</v>
      </c>
      <c r="E311" s="2">
        <v>499</v>
      </c>
      <c r="F311" s="3" t="s">
        <v>66</v>
      </c>
      <c r="G311" s="3" t="s">
        <v>64</v>
      </c>
      <c r="H311" s="2">
        <v>83</v>
      </c>
      <c r="I311" s="6"/>
    </row>
    <row r="312">
      <c r="A312" s="3" t="s">
        <v>379</v>
      </c>
      <c r="B312" s="2">
        <v>14</v>
      </c>
      <c r="C312" s="2">
        <v>12</v>
      </c>
      <c r="D312" s="5">
        <v>46031.296527777777</v>
      </c>
      <c r="E312" s="2">
        <v>799</v>
      </c>
      <c r="F312" s="3" t="s">
        <v>69</v>
      </c>
      <c r="G312" s="3" t="s">
        <v>64</v>
      </c>
      <c r="H312" s="2">
        <v>63</v>
      </c>
      <c r="I312" s="6"/>
    </row>
    <row r="313">
      <c r="A313" s="3" t="s">
        <v>380</v>
      </c>
      <c r="B313" s="2">
        <v>288</v>
      </c>
      <c r="C313" s="2">
        <v>8</v>
      </c>
      <c r="D313" s="5">
        <v>46039.540277777778</v>
      </c>
      <c r="E313" s="2">
        <v>49</v>
      </c>
      <c r="F313" s="3" t="s">
        <v>66</v>
      </c>
      <c r="G313" s="3" t="s">
        <v>64</v>
      </c>
      <c r="H313" s="2">
        <v>33</v>
      </c>
      <c r="I313" s="6"/>
    </row>
    <row r="314">
      <c r="A314" s="3" t="s">
        <v>381</v>
      </c>
      <c r="B314" s="2">
        <v>229</v>
      </c>
      <c r="C314" s="2">
        <v>14</v>
      </c>
      <c r="D314" s="5">
        <v>46047.364583333336</v>
      </c>
      <c r="E314" s="2">
        <v>1499</v>
      </c>
      <c r="F314" s="3" t="s">
        <v>66</v>
      </c>
      <c r="G314" s="3" t="s">
        <v>64</v>
      </c>
      <c r="H314" s="2">
        <v>78</v>
      </c>
      <c r="I314" s="6"/>
    </row>
    <row r="315">
      <c r="A315" s="3" t="s">
        <v>382</v>
      </c>
      <c r="B315" s="2">
        <v>252</v>
      </c>
      <c r="C315" s="2">
        <v>13</v>
      </c>
      <c r="D315" s="5">
        <v>46032.956944444442</v>
      </c>
      <c r="E315" s="2">
        <v>99</v>
      </c>
      <c r="F315" s="3" t="s">
        <v>63</v>
      </c>
      <c r="G315" s="3" t="s">
        <v>64</v>
      </c>
      <c r="H315" s="2">
        <v>15</v>
      </c>
      <c r="I315" s="6"/>
    </row>
    <row r="316">
      <c r="A316" s="3" t="s">
        <v>383</v>
      </c>
      <c r="B316" s="2">
        <v>89</v>
      </c>
      <c r="C316" s="2">
        <v>29</v>
      </c>
      <c r="D316" s="5">
        <v>46027.102777777778</v>
      </c>
      <c r="E316" s="2">
        <v>799</v>
      </c>
      <c r="F316" s="3" t="s">
        <v>66</v>
      </c>
      <c r="G316" s="3" t="s">
        <v>64</v>
      </c>
      <c r="H316" s="2">
        <v>11</v>
      </c>
      <c r="I316" s="6"/>
    </row>
    <row r="317">
      <c r="A317" s="3" t="s">
        <v>384</v>
      </c>
      <c r="B317" s="2">
        <v>164</v>
      </c>
      <c r="C317" s="2">
        <v>23</v>
      </c>
      <c r="D317" s="5">
        <v>46048.912499999999</v>
      </c>
      <c r="E317" s="2">
        <v>49</v>
      </c>
      <c r="F317" s="3" t="s">
        <v>69</v>
      </c>
      <c r="G317" s="3" t="s">
        <v>64</v>
      </c>
      <c r="H317" s="2">
        <v>90</v>
      </c>
      <c r="I317" s="6"/>
    </row>
    <row r="318">
      <c r="A318" s="3" t="s">
        <v>385</v>
      </c>
      <c r="B318" s="2">
        <v>149</v>
      </c>
      <c r="C318" s="2">
        <v>20</v>
      </c>
      <c r="D318" s="5">
        <v>46025.731944444444</v>
      </c>
      <c r="E318" s="2">
        <v>299</v>
      </c>
      <c r="F318" s="3" t="s">
        <v>63</v>
      </c>
      <c r="G318" s="3" t="s">
        <v>64</v>
      </c>
      <c r="H318" s="2">
        <v>20</v>
      </c>
      <c r="I318" s="6"/>
    </row>
    <row r="319">
      <c r="A319" s="3" t="s">
        <v>386</v>
      </c>
      <c r="B319" s="2">
        <v>327</v>
      </c>
      <c r="C319" s="2">
        <v>12</v>
      </c>
      <c r="D319" s="5">
        <v>46045.957638888889</v>
      </c>
      <c r="E319" s="2">
        <v>49</v>
      </c>
      <c r="F319" s="3" t="s">
        <v>69</v>
      </c>
      <c r="G319" s="3" t="s">
        <v>64</v>
      </c>
      <c r="H319" s="2">
        <v>46</v>
      </c>
      <c r="I319" s="6"/>
    </row>
    <row r="320">
      <c r="A320" s="3" t="s">
        <v>387</v>
      </c>
      <c r="B320" s="2">
        <v>103</v>
      </c>
      <c r="C320" s="2">
        <v>9</v>
      </c>
      <c r="D320" s="5">
        <v>46039.296527777777</v>
      </c>
      <c r="E320" s="2">
        <v>149</v>
      </c>
      <c r="F320" s="3" t="s">
        <v>66</v>
      </c>
      <c r="G320" s="3" t="s">
        <v>64</v>
      </c>
      <c r="H320" s="2">
        <v>30</v>
      </c>
      <c r="I320" s="6"/>
    </row>
    <row r="321">
      <c r="A321" s="3" t="s">
        <v>388</v>
      </c>
      <c r="B321" s="2">
        <v>185</v>
      </c>
      <c r="C321" s="2">
        <v>36</v>
      </c>
      <c r="D321" s="5">
        <v>46048.625694444447</v>
      </c>
      <c r="E321" s="2">
        <v>49</v>
      </c>
      <c r="F321" s="3" t="s">
        <v>63</v>
      </c>
      <c r="G321" s="3" t="s">
        <v>64</v>
      </c>
      <c r="H321" s="2">
        <v>73</v>
      </c>
      <c r="I321" s="6"/>
    </row>
    <row r="322">
      <c r="A322" s="3" t="s">
        <v>389</v>
      </c>
      <c r="B322" s="2">
        <v>283</v>
      </c>
      <c r="C322" s="2">
        <v>9</v>
      </c>
      <c r="D322" s="5">
        <v>46034.618750000001</v>
      </c>
      <c r="E322" s="2">
        <v>299</v>
      </c>
      <c r="F322" s="3" t="s">
        <v>66</v>
      </c>
      <c r="G322" s="3" t="s">
        <v>64</v>
      </c>
      <c r="H322" s="2">
        <v>78</v>
      </c>
      <c r="I322" s="6"/>
    </row>
    <row r="323">
      <c r="A323" s="3" t="s">
        <v>390</v>
      </c>
      <c r="B323" s="2">
        <v>159</v>
      </c>
      <c r="C323" s="2">
        <v>26</v>
      </c>
      <c r="D323" s="5">
        <v>46051.086111111108</v>
      </c>
      <c r="E323" s="2">
        <v>99</v>
      </c>
      <c r="F323" s="3" t="s">
        <v>66</v>
      </c>
      <c r="G323" s="3" t="s">
        <v>64</v>
      </c>
      <c r="H323" s="2">
        <v>91</v>
      </c>
      <c r="I323" s="6"/>
    </row>
    <row r="324">
      <c r="A324" s="3" t="s">
        <v>391</v>
      </c>
      <c r="B324" s="2">
        <v>211</v>
      </c>
      <c r="C324" s="2">
        <v>27</v>
      </c>
      <c r="D324" s="5">
        <v>46046.647916666669</v>
      </c>
      <c r="E324" s="2">
        <v>99</v>
      </c>
      <c r="F324" s="3" t="s">
        <v>63</v>
      </c>
      <c r="G324" s="3" t="s">
        <v>64</v>
      </c>
      <c r="H324" s="2">
        <v>73</v>
      </c>
      <c r="I324" s="6"/>
    </row>
    <row r="325">
      <c r="A325" s="3" t="s">
        <v>392</v>
      </c>
      <c r="B325" s="2">
        <v>329</v>
      </c>
      <c r="C325" s="2">
        <v>5</v>
      </c>
      <c r="D325" s="5">
        <v>46025.180555555555</v>
      </c>
      <c r="E325" s="2">
        <v>499</v>
      </c>
      <c r="F325" s="3" t="s">
        <v>69</v>
      </c>
      <c r="G325" s="3" t="s">
        <v>64</v>
      </c>
      <c r="H325" s="2">
        <v>57</v>
      </c>
      <c r="I325" s="6"/>
    </row>
    <row r="326">
      <c r="A326" s="3" t="s">
        <v>393</v>
      </c>
      <c r="B326" s="2">
        <v>177</v>
      </c>
      <c r="C326" s="2">
        <v>9</v>
      </c>
      <c r="D326" s="5">
        <v>46037.897916666669</v>
      </c>
      <c r="E326" s="2">
        <v>99</v>
      </c>
      <c r="F326" s="3" t="s">
        <v>66</v>
      </c>
      <c r="G326" s="3" t="s">
        <v>64</v>
      </c>
      <c r="H326" s="2">
        <v>99</v>
      </c>
      <c r="I326" s="6"/>
    </row>
    <row r="327">
      <c r="A327" s="3" t="s">
        <v>394</v>
      </c>
      <c r="B327" s="2">
        <v>94</v>
      </c>
      <c r="C327" s="2">
        <v>9</v>
      </c>
      <c r="D327" s="5">
        <v>46040.859027777777</v>
      </c>
      <c r="E327" s="2">
        <v>299</v>
      </c>
      <c r="F327" s="3" t="s">
        <v>66</v>
      </c>
      <c r="G327" s="3" t="s">
        <v>64</v>
      </c>
      <c r="H327" s="2">
        <v>55</v>
      </c>
      <c r="I327" s="6"/>
    </row>
    <row r="328">
      <c r="A328" s="3" t="s">
        <v>395</v>
      </c>
      <c r="B328" s="2">
        <v>64</v>
      </c>
      <c r="C328" s="2">
        <v>34</v>
      </c>
      <c r="D328" s="5">
        <v>46039.078472222223</v>
      </c>
      <c r="E328" s="2">
        <v>299</v>
      </c>
      <c r="F328" s="3" t="s">
        <v>66</v>
      </c>
      <c r="G328" s="3" t="s">
        <v>64</v>
      </c>
      <c r="H328" s="2">
        <v>19</v>
      </c>
      <c r="I328" s="6"/>
    </row>
    <row r="329">
      <c r="A329" s="3" t="s">
        <v>396</v>
      </c>
      <c r="B329" s="2">
        <v>166</v>
      </c>
      <c r="C329" s="2">
        <v>15</v>
      </c>
      <c r="D329" s="5">
        <v>46032.215277777781</v>
      </c>
      <c r="E329" s="2">
        <v>49</v>
      </c>
      <c r="F329" s="3" t="s">
        <v>66</v>
      </c>
      <c r="G329" s="3" t="s">
        <v>64</v>
      </c>
      <c r="H329" s="2">
        <v>44</v>
      </c>
      <c r="I329" s="6"/>
    </row>
    <row r="330">
      <c r="A330" s="3" t="s">
        <v>397</v>
      </c>
      <c r="B330" s="2">
        <v>41</v>
      </c>
      <c r="C330" s="2">
        <v>17</v>
      </c>
      <c r="D330" s="5">
        <v>46039.412499999999</v>
      </c>
      <c r="E330" s="2">
        <v>299</v>
      </c>
      <c r="F330" s="3" t="s">
        <v>63</v>
      </c>
      <c r="G330" s="3" t="s">
        <v>64</v>
      </c>
      <c r="H330" s="2">
        <v>25</v>
      </c>
      <c r="I330" s="6"/>
    </row>
    <row r="331">
      <c r="A331" s="3" t="s">
        <v>398</v>
      </c>
      <c r="B331" s="2">
        <v>65</v>
      </c>
      <c r="C331" s="2">
        <v>20</v>
      </c>
      <c r="D331" s="5">
        <v>46043.720138888886</v>
      </c>
      <c r="E331" s="2">
        <v>99</v>
      </c>
      <c r="F331" s="3" t="s">
        <v>78</v>
      </c>
      <c r="G331" s="3" t="s">
        <v>64</v>
      </c>
      <c r="H331" s="2">
        <v>78</v>
      </c>
      <c r="I331" s="6"/>
    </row>
    <row r="332">
      <c r="A332" s="3" t="s">
        <v>399</v>
      </c>
      <c r="B332" s="2">
        <v>329</v>
      </c>
      <c r="C332" s="2">
        <v>11</v>
      </c>
      <c r="D332" s="5">
        <v>46040.105555555558</v>
      </c>
      <c r="E332" s="2">
        <v>499</v>
      </c>
      <c r="F332" s="3" t="s">
        <v>66</v>
      </c>
      <c r="G332" s="3" t="s">
        <v>64</v>
      </c>
      <c r="H332" s="2">
        <v>75</v>
      </c>
      <c r="I332" s="6"/>
    </row>
    <row r="333">
      <c r="A333" s="3" t="s">
        <v>400</v>
      </c>
      <c r="B333" s="2">
        <v>338</v>
      </c>
      <c r="C333" s="2">
        <v>40</v>
      </c>
      <c r="D333" s="5">
        <v>46041.173611111109</v>
      </c>
      <c r="E333" s="2">
        <v>149</v>
      </c>
      <c r="F333" s="3" t="s">
        <v>66</v>
      </c>
      <c r="G333" s="3" t="s">
        <v>64</v>
      </c>
      <c r="H333" s="2">
        <v>92</v>
      </c>
      <c r="I333" s="6"/>
    </row>
    <row r="334">
      <c r="A334" s="3" t="s">
        <v>401</v>
      </c>
      <c r="B334" s="2">
        <v>289</v>
      </c>
      <c r="C334" s="2">
        <v>3</v>
      </c>
      <c r="D334" s="5">
        <v>46051.806250000001</v>
      </c>
      <c r="E334" s="2">
        <v>49</v>
      </c>
      <c r="F334" s="3" t="s">
        <v>69</v>
      </c>
      <c r="G334" s="3" t="s">
        <v>64</v>
      </c>
      <c r="H334" s="2">
        <v>3</v>
      </c>
      <c r="I334" s="6"/>
    </row>
    <row r="335">
      <c r="A335" s="3" t="s">
        <v>402</v>
      </c>
      <c r="B335" s="2">
        <v>296</v>
      </c>
      <c r="C335" s="2">
        <v>17</v>
      </c>
      <c r="D335" s="5">
        <v>46025.070138888892</v>
      </c>
      <c r="E335" s="2">
        <v>99</v>
      </c>
      <c r="F335" s="3" t="s">
        <v>66</v>
      </c>
      <c r="G335" s="3" t="s">
        <v>64</v>
      </c>
      <c r="H335" s="2">
        <v>83</v>
      </c>
      <c r="I335" s="6"/>
    </row>
    <row r="336">
      <c r="A336" s="3" t="s">
        <v>403</v>
      </c>
      <c r="B336" s="2">
        <v>317</v>
      </c>
      <c r="C336" s="2">
        <v>2</v>
      </c>
      <c r="D336" s="5">
        <v>46029.768055555556</v>
      </c>
      <c r="E336" s="2">
        <v>499</v>
      </c>
      <c r="F336" s="3" t="s">
        <v>78</v>
      </c>
      <c r="G336" s="3" t="s">
        <v>64</v>
      </c>
      <c r="H336" s="2">
        <v>63</v>
      </c>
      <c r="I336" s="6"/>
    </row>
    <row r="337">
      <c r="A337" s="3" t="s">
        <v>404</v>
      </c>
      <c r="B337" s="2">
        <v>149</v>
      </c>
      <c r="C337" s="2">
        <v>20</v>
      </c>
      <c r="D337" s="5">
        <v>46051.856944444444</v>
      </c>
      <c r="E337" s="2">
        <v>499</v>
      </c>
      <c r="F337" s="3" t="s">
        <v>78</v>
      </c>
      <c r="G337" s="3" t="s">
        <v>64</v>
      </c>
      <c r="H337" s="2">
        <v>61</v>
      </c>
      <c r="I337" s="6"/>
    </row>
    <row r="338">
      <c r="A338" s="3" t="s">
        <v>405</v>
      </c>
      <c r="B338" s="2">
        <v>153</v>
      </c>
      <c r="C338" s="2">
        <v>30</v>
      </c>
      <c r="D338" s="5">
        <v>46030.892361111109</v>
      </c>
      <c r="E338" s="2">
        <v>299</v>
      </c>
      <c r="F338" s="3" t="s">
        <v>66</v>
      </c>
      <c r="G338" s="3" t="s">
        <v>64</v>
      </c>
      <c r="H338" s="2">
        <v>9</v>
      </c>
      <c r="I338" s="6"/>
    </row>
    <row r="339">
      <c r="A339" s="3" t="s">
        <v>406</v>
      </c>
      <c r="B339" s="2">
        <v>226</v>
      </c>
      <c r="C339" s="2">
        <v>27</v>
      </c>
      <c r="D339" s="5">
        <v>46045.048611111109</v>
      </c>
      <c r="E339" s="2">
        <v>2999</v>
      </c>
      <c r="F339" s="3" t="s">
        <v>66</v>
      </c>
      <c r="G339" s="3" t="s">
        <v>92</v>
      </c>
      <c r="H339" s="2">
        <v>61</v>
      </c>
      <c r="I339" s="6"/>
    </row>
    <row r="340">
      <c r="A340" s="3" t="s">
        <v>407</v>
      </c>
      <c r="B340" s="2">
        <v>311</v>
      </c>
      <c r="C340" s="2">
        <v>10</v>
      </c>
      <c r="D340" s="5">
        <v>46037.26458333333</v>
      </c>
      <c r="E340" s="2">
        <v>2999</v>
      </c>
      <c r="F340" s="3" t="s">
        <v>66</v>
      </c>
      <c r="G340" s="3" t="s">
        <v>64</v>
      </c>
      <c r="H340" s="2">
        <v>40</v>
      </c>
      <c r="I340" s="6"/>
    </row>
    <row r="341">
      <c r="A341" s="3" t="s">
        <v>408</v>
      </c>
      <c r="B341" s="2">
        <v>177</v>
      </c>
      <c r="C341" s="2">
        <v>26</v>
      </c>
      <c r="D341" s="5">
        <v>46050.930555555555</v>
      </c>
      <c r="E341" s="2">
        <v>1499</v>
      </c>
      <c r="F341" s="3" t="s">
        <v>66</v>
      </c>
      <c r="G341" s="3" t="s">
        <v>64</v>
      </c>
      <c r="H341" s="2">
        <v>16</v>
      </c>
      <c r="I341" s="6"/>
    </row>
    <row r="342">
      <c r="A342" s="3" t="s">
        <v>409</v>
      </c>
      <c r="B342" s="2">
        <v>288</v>
      </c>
      <c r="C342" s="2">
        <v>7</v>
      </c>
      <c r="D342" s="5">
        <v>46047.480555555558</v>
      </c>
      <c r="E342" s="2">
        <v>99</v>
      </c>
      <c r="F342" s="3" t="s">
        <v>69</v>
      </c>
      <c r="G342" s="3" t="s">
        <v>64</v>
      </c>
      <c r="H342" s="2">
        <v>40</v>
      </c>
      <c r="I342" s="6"/>
    </row>
    <row r="343">
      <c r="A343" s="3" t="s">
        <v>410</v>
      </c>
      <c r="B343" s="2">
        <v>137</v>
      </c>
      <c r="C343" s="2">
        <v>29</v>
      </c>
      <c r="D343" s="5">
        <v>46030.588194444441</v>
      </c>
      <c r="E343" s="2">
        <v>2999</v>
      </c>
      <c r="F343" s="3" t="s">
        <v>66</v>
      </c>
      <c r="G343" s="3" t="s">
        <v>79</v>
      </c>
      <c r="H343" s="2">
        <v>31</v>
      </c>
      <c r="I343" s="6"/>
    </row>
    <row r="344">
      <c r="A344" s="3" t="s">
        <v>411</v>
      </c>
      <c r="B344" s="2">
        <v>149</v>
      </c>
      <c r="C344" s="2">
        <v>25</v>
      </c>
      <c r="D344" s="5">
        <v>46027.127083333333</v>
      </c>
      <c r="E344" s="2">
        <v>1499</v>
      </c>
      <c r="F344" s="3" t="s">
        <v>66</v>
      </c>
      <c r="G344" s="3" t="s">
        <v>64</v>
      </c>
      <c r="H344" s="2">
        <v>78</v>
      </c>
      <c r="I344" s="6"/>
    </row>
    <row r="345">
      <c r="A345" s="3" t="s">
        <v>412</v>
      </c>
      <c r="B345" s="2">
        <v>82</v>
      </c>
      <c r="C345" s="2">
        <v>21</v>
      </c>
      <c r="D345" s="5">
        <v>46036.329861111109</v>
      </c>
      <c r="E345" s="2">
        <v>49</v>
      </c>
      <c r="F345" s="3" t="s">
        <v>63</v>
      </c>
      <c r="G345" s="3" t="s">
        <v>64</v>
      </c>
      <c r="H345" s="2">
        <v>73</v>
      </c>
      <c r="I345" s="6"/>
    </row>
    <row r="346">
      <c r="A346" s="3" t="s">
        <v>413</v>
      </c>
      <c r="B346" s="2">
        <v>82</v>
      </c>
      <c r="C346" s="2">
        <v>32</v>
      </c>
      <c r="D346" s="5">
        <v>46046.425000000003</v>
      </c>
      <c r="E346" s="2">
        <v>49</v>
      </c>
      <c r="F346" s="3" t="s">
        <v>66</v>
      </c>
      <c r="G346" s="3" t="s">
        <v>64</v>
      </c>
      <c r="H346" s="2">
        <v>65</v>
      </c>
      <c r="I346" s="6"/>
    </row>
    <row r="347">
      <c r="A347" s="3" t="s">
        <v>414</v>
      </c>
      <c r="B347" s="2">
        <v>158</v>
      </c>
      <c r="C347" s="2">
        <v>32</v>
      </c>
      <c r="D347" s="5">
        <v>46037.663888888892</v>
      </c>
      <c r="E347" s="2">
        <v>99</v>
      </c>
      <c r="F347" s="3" t="s">
        <v>63</v>
      </c>
      <c r="G347" s="3" t="s">
        <v>64</v>
      </c>
      <c r="H347" s="2">
        <v>2</v>
      </c>
      <c r="I347" s="6"/>
    </row>
    <row r="348">
      <c r="A348" s="3" t="s">
        <v>415</v>
      </c>
      <c r="B348" s="2">
        <v>235</v>
      </c>
      <c r="C348" s="2">
        <v>16</v>
      </c>
      <c r="D348" s="5">
        <v>46025.522222222222</v>
      </c>
      <c r="E348" s="2">
        <v>99</v>
      </c>
      <c r="F348" s="3" t="s">
        <v>66</v>
      </c>
      <c r="G348" s="3" t="s">
        <v>64</v>
      </c>
      <c r="H348" s="2">
        <v>27</v>
      </c>
      <c r="I348" s="6"/>
    </row>
    <row r="349">
      <c r="A349" s="3" t="s">
        <v>416</v>
      </c>
      <c r="B349" s="2">
        <v>26</v>
      </c>
      <c r="C349" s="2">
        <v>19</v>
      </c>
      <c r="D349" s="5">
        <v>46041.460416666669</v>
      </c>
      <c r="E349" s="2">
        <v>99</v>
      </c>
      <c r="F349" s="3" t="s">
        <v>63</v>
      </c>
      <c r="G349" s="3" t="s">
        <v>64</v>
      </c>
      <c r="H349" s="2">
        <v>63</v>
      </c>
      <c r="I349" s="6"/>
    </row>
    <row r="350">
      <c r="A350" s="3" t="s">
        <v>417</v>
      </c>
      <c r="B350" s="2">
        <v>241</v>
      </c>
      <c r="C350" s="2">
        <v>19</v>
      </c>
      <c r="D350" s="5">
        <v>46042.863194444442</v>
      </c>
      <c r="E350" s="2">
        <v>299</v>
      </c>
      <c r="F350" s="3" t="s">
        <v>66</v>
      </c>
      <c r="G350" s="3" t="s">
        <v>64</v>
      </c>
      <c r="H350" s="2">
        <v>68</v>
      </c>
      <c r="I350" s="6"/>
    </row>
    <row r="351">
      <c r="A351" s="3" t="s">
        <v>418</v>
      </c>
      <c r="B351" s="2">
        <v>69</v>
      </c>
      <c r="C351" s="2">
        <v>17</v>
      </c>
      <c r="D351" s="5">
        <v>46023.143750000003</v>
      </c>
      <c r="E351" s="2">
        <v>1499</v>
      </c>
      <c r="F351" s="3" t="s">
        <v>66</v>
      </c>
      <c r="G351" s="3" t="s">
        <v>64</v>
      </c>
      <c r="H351" s="2">
        <v>93</v>
      </c>
      <c r="I351" s="6"/>
    </row>
    <row r="352">
      <c r="A352" s="3" t="s">
        <v>419</v>
      </c>
      <c r="B352" s="2">
        <v>24</v>
      </c>
      <c r="C352" s="2">
        <v>26</v>
      </c>
      <c r="D352" s="5">
        <v>46034.515972222223</v>
      </c>
      <c r="E352" s="2">
        <v>299</v>
      </c>
      <c r="F352" s="3" t="s">
        <v>69</v>
      </c>
      <c r="G352" s="3" t="s">
        <v>64</v>
      </c>
      <c r="H352" s="2">
        <v>6</v>
      </c>
      <c r="I352" s="6"/>
    </row>
    <row r="353">
      <c r="A353" s="3" t="s">
        <v>420</v>
      </c>
      <c r="B353" s="2">
        <v>186</v>
      </c>
      <c r="C353" s="2">
        <v>36</v>
      </c>
      <c r="D353" s="5">
        <v>46041.716666666667</v>
      </c>
      <c r="E353" s="2">
        <v>4999</v>
      </c>
      <c r="F353" s="3" t="s">
        <v>66</v>
      </c>
      <c r="G353" s="3" t="s">
        <v>64</v>
      </c>
      <c r="H353" s="2">
        <v>36</v>
      </c>
      <c r="I353" s="6"/>
    </row>
    <row r="354">
      <c r="A354" s="3" t="s">
        <v>421</v>
      </c>
      <c r="B354" s="2">
        <v>231</v>
      </c>
      <c r="C354" s="2">
        <v>36</v>
      </c>
      <c r="D354" s="5">
        <v>46025.522222222222</v>
      </c>
      <c r="E354" s="2">
        <v>149</v>
      </c>
      <c r="F354" s="3" t="s">
        <v>66</v>
      </c>
      <c r="G354" s="3" t="s">
        <v>64</v>
      </c>
      <c r="H354" s="2">
        <v>35</v>
      </c>
      <c r="I354" s="6"/>
    </row>
    <row r="355">
      <c r="A355" s="3" t="s">
        <v>422</v>
      </c>
      <c r="B355" s="2">
        <v>313</v>
      </c>
      <c r="C355" s="2">
        <v>8</v>
      </c>
      <c r="D355" s="5">
        <v>46049.821527777778</v>
      </c>
      <c r="E355" s="2">
        <v>1499</v>
      </c>
      <c r="F355" s="3" t="s">
        <v>69</v>
      </c>
      <c r="G355" s="3" t="s">
        <v>64</v>
      </c>
      <c r="H355" s="2">
        <v>16</v>
      </c>
      <c r="I355" s="6"/>
    </row>
    <row r="356">
      <c r="A356" s="3" t="s">
        <v>423</v>
      </c>
      <c r="B356" s="2">
        <v>174</v>
      </c>
      <c r="C356" s="2">
        <v>36</v>
      </c>
      <c r="D356" s="5">
        <v>46026.515972222223</v>
      </c>
      <c r="E356" s="2">
        <v>149</v>
      </c>
      <c r="F356" s="3" t="s">
        <v>66</v>
      </c>
      <c r="G356" s="3" t="s">
        <v>64</v>
      </c>
      <c r="H356" s="2">
        <v>46</v>
      </c>
      <c r="I356" s="6"/>
    </row>
    <row r="357">
      <c r="A357" s="3" t="s">
        <v>424</v>
      </c>
      <c r="B357" s="2">
        <v>309</v>
      </c>
      <c r="C357" s="2">
        <v>33</v>
      </c>
      <c r="D357" s="5">
        <v>46047.175000000003</v>
      </c>
      <c r="E357" s="2">
        <v>99</v>
      </c>
      <c r="F357" s="3" t="s">
        <v>66</v>
      </c>
      <c r="G357" s="3" t="s">
        <v>64</v>
      </c>
      <c r="H357" s="2">
        <v>51</v>
      </c>
      <c r="I357" s="6"/>
    </row>
    <row r="358">
      <c r="A358" s="3" t="s">
        <v>425</v>
      </c>
      <c r="B358" s="2">
        <v>20</v>
      </c>
      <c r="C358" s="2">
        <v>9</v>
      </c>
      <c r="D358" s="5">
        <v>46039.043055555558</v>
      </c>
      <c r="E358" s="2">
        <v>99</v>
      </c>
      <c r="F358" s="3" t="s">
        <v>66</v>
      </c>
      <c r="G358" s="3" t="s">
        <v>64</v>
      </c>
      <c r="H358" s="2">
        <v>91</v>
      </c>
      <c r="I358" s="6"/>
    </row>
    <row r="359">
      <c r="A359" s="3" t="s">
        <v>426</v>
      </c>
      <c r="B359" s="2">
        <v>234</v>
      </c>
      <c r="C359" s="2">
        <v>10</v>
      </c>
      <c r="D359" s="5">
        <v>46033.647916666669</v>
      </c>
      <c r="E359" s="2">
        <v>49</v>
      </c>
      <c r="F359" s="3" t="s">
        <v>66</v>
      </c>
      <c r="G359" s="3" t="s">
        <v>64</v>
      </c>
      <c r="H359" s="2">
        <v>77</v>
      </c>
      <c r="I359" s="6"/>
    </row>
    <row r="360">
      <c r="A360" s="3" t="s">
        <v>427</v>
      </c>
      <c r="B360" s="2">
        <v>168</v>
      </c>
      <c r="C360" s="2">
        <v>40</v>
      </c>
      <c r="D360" s="5">
        <v>46051.672222222223</v>
      </c>
      <c r="E360" s="2">
        <v>149</v>
      </c>
      <c r="F360" s="3" t="s">
        <v>66</v>
      </c>
      <c r="G360" s="3" t="s">
        <v>92</v>
      </c>
      <c r="H360" s="2">
        <v>40</v>
      </c>
      <c r="I360" s="6"/>
    </row>
    <row r="361">
      <c r="A361" s="3" t="s">
        <v>428</v>
      </c>
      <c r="B361" s="2">
        <v>154</v>
      </c>
      <c r="C361" s="2">
        <v>38</v>
      </c>
      <c r="D361" s="5">
        <v>46028.527083333334</v>
      </c>
      <c r="E361" s="2">
        <v>99</v>
      </c>
      <c r="F361" s="3" t="s">
        <v>69</v>
      </c>
      <c r="G361" s="3" t="s">
        <v>64</v>
      </c>
      <c r="H361" s="2">
        <v>43</v>
      </c>
      <c r="I361" s="6"/>
    </row>
    <row r="362">
      <c r="A362" s="3" t="s">
        <v>429</v>
      </c>
      <c r="B362" s="2">
        <v>251</v>
      </c>
      <c r="C362" s="2">
        <v>37</v>
      </c>
      <c r="D362" s="5">
        <v>46039.69027777778</v>
      </c>
      <c r="E362" s="2">
        <v>49</v>
      </c>
      <c r="F362" s="3" t="s">
        <v>66</v>
      </c>
      <c r="G362" s="3" t="s">
        <v>64</v>
      </c>
      <c r="H362" s="2">
        <v>38</v>
      </c>
      <c r="I362" s="6"/>
    </row>
    <row r="363">
      <c r="A363" s="3" t="s">
        <v>430</v>
      </c>
      <c r="B363" s="2">
        <v>170</v>
      </c>
      <c r="C363" s="2">
        <v>8</v>
      </c>
      <c r="D363" s="5">
        <v>46038.015972222223</v>
      </c>
      <c r="E363" s="2">
        <v>2999</v>
      </c>
      <c r="F363" s="3" t="s">
        <v>66</v>
      </c>
      <c r="G363" s="3" t="s">
        <v>64</v>
      </c>
      <c r="H363" s="2">
        <v>53</v>
      </c>
      <c r="I363" s="6"/>
    </row>
    <row r="364">
      <c r="A364" s="3" t="s">
        <v>431</v>
      </c>
      <c r="B364" s="2">
        <v>323</v>
      </c>
      <c r="C364" s="2">
        <v>2</v>
      </c>
      <c r="D364" s="5">
        <v>46041.409722222219</v>
      </c>
      <c r="E364" s="2">
        <v>49</v>
      </c>
      <c r="F364" s="3" t="s">
        <v>69</v>
      </c>
      <c r="G364" s="3" t="s">
        <v>64</v>
      </c>
      <c r="H364" s="2">
        <v>76</v>
      </c>
      <c r="I364" s="6"/>
    </row>
    <row r="365">
      <c r="A365" s="3" t="s">
        <v>432</v>
      </c>
      <c r="B365" s="2">
        <v>297</v>
      </c>
      <c r="C365" s="2">
        <v>37</v>
      </c>
      <c r="D365" s="5">
        <v>46038.361805555556</v>
      </c>
      <c r="E365" s="2">
        <v>2999</v>
      </c>
      <c r="F365" s="3" t="s">
        <v>63</v>
      </c>
      <c r="G365" s="3" t="s">
        <v>64</v>
      </c>
      <c r="H365" s="2">
        <v>29</v>
      </c>
      <c r="I365" s="6"/>
    </row>
    <row r="366">
      <c r="A366" s="3" t="s">
        <v>433</v>
      </c>
      <c r="B366" s="2">
        <v>246</v>
      </c>
      <c r="C366" s="2">
        <v>11</v>
      </c>
      <c r="D366" s="5">
        <v>46046.067361111112</v>
      </c>
      <c r="E366" s="2">
        <v>299</v>
      </c>
      <c r="F366" s="3" t="s">
        <v>66</v>
      </c>
      <c r="G366" s="3" t="s">
        <v>64</v>
      </c>
      <c r="H366" s="2">
        <v>67</v>
      </c>
      <c r="I366" s="6"/>
    </row>
    <row r="367">
      <c r="A367" s="3" t="s">
        <v>434</v>
      </c>
      <c r="B367" s="2">
        <v>195</v>
      </c>
      <c r="C367" s="2">
        <v>10</v>
      </c>
      <c r="D367" s="5">
        <v>46043.98541666667</v>
      </c>
      <c r="E367" s="2">
        <v>99</v>
      </c>
      <c r="F367" s="3" t="s">
        <v>66</v>
      </c>
      <c r="G367" s="3" t="s">
        <v>64</v>
      </c>
      <c r="H367" s="2">
        <v>87</v>
      </c>
      <c r="I367" s="6"/>
    </row>
    <row r="368">
      <c r="A368" s="3" t="s">
        <v>435</v>
      </c>
      <c r="B368" s="2">
        <v>57</v>
      </c>
      <c r="C368" s="2">
        <v>13</v>
      </c>
      <c r="D368" s="5">
        <v>46030.066666666666</v>
      </c>
      <c r="E368" s="2">
        <v>149</v>
      </c>
      <c r="F368" s="3" t="s">
        <v>66</v>
      </c>
      <c r="G368" s="3" t="s">
        <v>64</v>
      </c>
      <c r="H368" s="2">
        <v>2</v>
      </c>
      <c r="I368" s="6"/>
    </row>
    <row r="369">
      <c r="A369" s="3" t="s">
        <v>436</v>
      </c>
      <c r="B369" s="2">
        <v>78</v>
      </c>
      <c r="C369" s="2">
        <v>27</v>
      </c>
      <c r="D369" s="5">
        <v>46037.43472222222</v>
      </c>
      <c r="E369" s="2">
        <v>1499</v>
      </c>
      <c r="F369" s="3" t="s">
        <v>69</v>
      </c>
      <c r="G369" s="3" t="s">
        <v>79</v>
      </c>
      <c r="H369" s="2">
        <v>88</v>
      </c>
      <c r="I369" s="6"/>
    </row>
    <row r="370">
      <c r="A370" s="3" t="s">
        <v>437</v>
      </c>
      <c r="B370" s="2">
        <v>314</v>
      </c>
      <c r="C370" s="2">
        <v>31</v>
      </c>
      <c r="D370" s="5">
        <v>46029.563888888886</v>
      </c>
      <c r="E370" s="2">
        <v>49</v>
      </c>
      <c r="F370" s="3" t="s">
        <v>66</v>
      </c>
      <c r="G370" s="3" t="s">
        <v>92</v>
      </c>
      <c r="H370" s="2">
        <v>94</v>
      </c>
      <c r="I370" s="6"/>
    </row>
    <row r="371">
      <c r="A371" s="3" t="s">
        <v>438</v>
      </c>
      <c r="B371" s="2">
        <v>71</v>
      </c>
      <c r="C371" s="2">
        <v>34</v>
      </c>
      <c r="D371" s="5">
        <v>46046.072916666664</v>
      </c>
      <c r="E371" s="2">
        <v>499</v>
      </c>
      <c r="F371" s="3" t="s">
        <v>66</v>
      </c>
      <c r="G371" s="3" t="s">
        <v>64</v>
      </c>
      <c r="H371" s="2">
        <v>26</v>
      </c>
      <c r="I371" s="6"/>
    </row>
    <row r="372">
      <c r="A372" s="3" t="s">
        <v>439</v>
      </c>
      <c r="B372" s="2">
        <v>245</v>
      </c>
      <c r="C372" s="2">
        <v>34</v>
      </c>
      <c r="D372" s="5">
        <v>46040.445833333331</v>
      </c>
      <c r="E372" s="2">
        <v>99</v>
      </c>
      <c r="F372" s="3" t="s">
        <v>66</v>
      </c>
      <c r="G372" s="3" t="s">
        <v>64</v>
      </c>
      <c r="H372" s="2">
        <v>48</v>
      </c>
      <c r="I372" s="6"/>
    </row>
    <row r="373">
      <c r="A373" s="3" t="s">
        <v>440</v>
      </c>
      <c r="B373" s="2">
        <v>273</v>
      </c>
      <c r="C373" s="2">
        <v>22</v>
      </c>
      <c r="D373" s="5">
        <v>46033.228472222225</v>
      </c>
      <c r="E373" s="2">
        <v>299</v>
      </c>
      <c r="F373" s="3" t="s">
        <v>63</v>
      </c>
      <c r="G373" s="3" t="s">
        <v>64</v>
      </c>
      <c r="H373" s="2">
        <v>69</v>
      </c>
      <c r="I373" s="6"/>
    </row>
    <row r="374">
      <c r="A374" s="3" t="s">
        <v>441</v>
      </c>
      <c r="B374" s="2">
        <v>349</v>
      </c>
      <c r="C374" s="2">
        <v>17</v>
      </c>
      <c r="D374" s="5">
        <v>46034.90902777778</v>
      </c>
      <c r="E374" s="2">
        <v>1499</v>
      </c>
      <c r="F374" s="3" t="s">
        <v>66</v>
      </c>
      <c r="G374" s="3" t="s">
        <v>64</v>
      </c>
      <c r="H374" s="2">
        <v>78</v>
      </c>
      <c r="I374" s="6"/>
    </row>
    <row r="375">
      <c r="A375" s="3" t="s">
        <v>442</v>
      </c>
      <c r="B375" s="2">
        <v>143</v>
      </c>
      <c r="C375" s="2">
        <v>36</v>
      </c>
      <c r="D375" s="5">
        <v>46038.260416666664</v>
      </c>
      <c r="E375" s="2">
        <v>1499</v>
      </c>
      <c r="F375" s="3" t="s">
        <v>69</v>
      </c>
      <c r="G375" s="3" t="s">
        <v>64</v>
      </c>
      <c r="H375" s="2">
        <v>38</v>
      </c>
      <c r="I375" s="6"/>
    </row>
    <row r="376">
      <c r="A376" s="3" t="s">
        <v>443</v>
      </c>
      <c r="B376" s="2">
        <v>148</v>
      </c>
      <c r="C376" s="2">
        <v>14</v>
      </c>
      <c r="D376" s="5">
        <v>46030.40902777778</v>
      </c>
      <c r="E376" s="2">
        <v>799</v>
      </c>
      <c r="F376" s="3" t="s">
        <v>63</v>
      </c>
      <c r="G376" s="3" t="s">
        <v>64</v>
      </c>
      <c r="H376" s="2">
        <v>88</v>
      </c>
      <c r="I376" s="6"/>
    </row>
    <row r="377">
      <c r="A377" s="3" t="s">
        <v>444</v>
      </c>
      <c r="B377" s="2">
        <v>246</v>
      </c>
      <c r="C377" s="2">
        <v>23</v>
      </c>
      <c r="D377" s="5">
        <v>46045.638888888891</v>
      </c>
      <c r="E377" s="2">
        <v>49</v>
      </c>
      <c r="F377" s="3" t="s">
        <v>66</v>
      </c>
      <c r="G377" s="3" t="s">
        <v>64</v>
      </c>
      <c r="H377" s="2">
        <v>71</v>
      </c>
      <c r="I377" s="6"/>
    </row>
    <row r="378">
      <c r="A378" s="3" t="s">
        <v>445</v>
      </c>
      <c r="B378" s="2">
        <v>148</v>
      </c>
      <c r="C378" s="2">
        <v>8</v>
      </c>
      <c r="D378" s="5">
        <v>46052.970138888886</v>
      </c>
      <c r="E378" s="2">
        <v>99</v>
      </c>
      <c r="F378" s="3" t="s">
        <v>63</v>
      </c>
      <c r="G378" s="3" t="s">
        <v>64</v>
      </c>
      <c r="H378" s="2">
        <v>73</v>
      </c>
      <c r="I378" s="6"/>
    </row>
    <row r="379">
      <c r="A379" s="3" t="s">
        <v>446</v>
      </c>
      <c r="B379" s="2">
        <v>203</v>
      </c>
      <c r="C379" s="2">
        <v>23</v>
      </c>
      <c r="D379" s="5">
        <v>46044.724999999999</v>
      </c>
      <c r="E379" s="2">
        <v>49</v>
      </c>
      <c r="F379" s="3" t="s">
        <v>66</v>
      </c>
      <c r="G379" s="3" t="s">
        <v>64</v>
      </c>
      <c r="H379" s="2">
        <v>98</v>
      </c>
      <c r="I379" s="6"/>
    </row>
    <row r="380">
      <c r="A380" s="3" t="s">
        <v>447</v>
      </c>
      <c r="B380" s="2">
        <v>22</v>
      </c>
      <c r="C380" s="2">
        <v>19</v>
      </c>
      <c r="D380" s="5">
        <v>46048.179166666669</v>
      </c>
      <c r="E380" s="2">
        <v>49</v>
      </c>
      <c r="F380" s="3" t="s">
        <v>78</v>
      </c>
      <c r="G380" s="3" t="s">
        <v>64</v>
      </c>
      <c r="H380" s="2">
        <v>91</v>
      </c>
      <c r="I380" s="6"/>
    </row>
    <row r="381">
      <c r="A381" s="3" t="s">
        <v>448</v>
      </c>
      <c r="B381" s="2">
        <v>227</v>
      </c>
      <c r="C381" s="2">
        <v>17</v>
      </c>
      <c r="D381" s="5">
        <v>46025.499305555553</v>
      </c>
      <c r="E381" s="2">
        <v>299</v>
      </c>
      <c r="F381" s="3" t="s">
        <v>63</v>
      </c>
      <c r="G381" s="3" t="s">
        <v>64</v>
      </c>
      <c r="H381" s="2">
        <v>95</v>
      </c>
      <c r="I381" s="6"/>
    </row>
    <row r="382">
      <c r="A382" s="3" t="s">
        <v>449</v>
      </c>
      <c r="B382" s="2">
        <v>276</v>
      </c>
      <c r="C382" s="2">
        <v>18</v>
      </c>
      <c r="D382" s="5">
        <v>46038.258333333331</v>
      </c>
      <c r="E382" s="2">
        <v>149</v>
      </c>
      <c r="F382" s="3" t="s">
        <v>63</v>
      </c>
      <c r="G382" s="3" t="s">
        <v>64</v>
      </c>
      <c r="H382" s="2">
        <v>71</v>
      </c>
      <c r="I382" s="6"/>
    </row>
    <row r="383">
      <c r="A383" s="3" t="s">
        <v>450</v>
      </c>
      <c r="B383" s="2">
        <v>56</v>
      </c>
      <c r="C383" s="2">
        <v>40</v>
      </c>
      <c r="D383" s="5">
        <v>46045.338888888888</v>
      </c>
      <c r="E383" s="2">
        <v>99</v>
      </c>
      <c r="F383" s="3" t="s">
        <v>78</v>
      </c>
      <c r="G383" s="3" t="s">
        <v>64</v>
      </c>
      <c r="H383" s="2">
        <v>94</v>
      </c>
      <c r="I383" s="6"/>
    </row>
    <row r="384">
      <c r="A384" s="3" t="s">
        <v>451</v>
      </c>
      <c r="B384" s="2">
        <v>26</v>
      </c>
      <c r="C384" s="2">
        <v>34</v>
      </c>
      <c r="D384" s="5">
        <v>46041.302083333336</v>
      </c>
      <c r="E384" s="2">
        <v>499</v>
      </c>
      <c r="F384" s="3" t="s">
        <v>78</v>
      </c>
      <c r="G384" s="3" t="s">
        <v>64</v>
      </c>
      <c r="H384" s="2">
        <v>28</v>
      </c>
      <c r="I384" s="6"/>
    </row>
    <row r="385">
      <c r="A385" s="3" t="s">
        <v>452</v>
      </c>
      <c r="B385" s="2">
        <v>52</v>
      </c>
      <c r="C385" s="2">
        <v>27</v>
      </c>
      <c r="D385" s="5">
        <v>46043.293749999997</v>
      </c>
      <c r="E385" s="2">
        <v>499</v>
      </c>
      <c r="F385" s="3" t="s">
        <v>78</v>
      </c>
      <c r="G385" s="3" t="s">
        <v>64</v>
      </c>
      <c r="H385" s="2">
        <v>42</v>
      </c>
      <c r="I385" s="6"/>
    </row>
    <row r="386">
      <c r="A386" s="3" t="s">
        <v>453</v>
      </c>
      <c r="B386" s="2">
        <v>349</v>
      </c>
      <c r="C386" s="2">
        <v>9</v>
      </c>
      <c r="D386" s="5">
        <v>46045.629166666666</v>
      </c>
      <c r="E386" s="2">
        <v>499</v>
      </c>
      <c r="F386" s="3" t="s">
        <v>63</v>
      </c>
      <c r="G386" s="3" t="s">
        <v>64</v>
      </c>
      <c r="H386" s="2">
        <v>0</v>
      </c>
      <c r="I386" s="6"/>
    </row>
    <row r="387">
      <c r="A387" s="3" t="s">
        <v>454</v>
      </c>
      <c r="B387" s="2">
        <v>335</v>
      </c>
      <c r="C387" s="2">
        <v>31</v>
      </c>
      <c r="D387" s="5">
        <v>46040.226388888892</v>
      </c>
      <c r="E387" s="2">
        <v>49</v>
      </c>
      <c r="F387" s="3" t="s">
        <v>78</v>
      </c>
      <c r="G387" s="3" t="s">
        <v>64</v>
      </c>
      <c r="H387" s="2">
        <v>61</v>
      </c>
      <c r="I387" s="6"/>
    </row>
    <row r="388">
      <c r="A388" s="3" t="s">
        <v>455</v>
      </c>
      <c r="B388" s="2">
        <v>148</v>
      </c>
      <c r="C388" s="2">
        <v>21</v>
      </c>
      <c r="D388" s="5">
        <v>46043.283333333333</v>
      </c>
      <c r="E388" s="2">
        <v>49</v>
      </c>
      <c r="F388" s="3" t="s">
        <v>78</v>
      </c>
      <c r="G388" s="3" t="s">
        <v>64</v>
      </c>
      <c r="H388" s="2">
        <v>36</v>
      </c>
      <c r="I388" s="6"/>
    </row>
    <row r="389">
      <c r="A389" s="3" t="s">
        <v>456</v>
      </c>
      <c r="B389" s="2">
        <v>46</v>
      </c>
      <c r="C389" s="2">
        <v>37</v>
      </c>
      <c r="D389" s="5">
        <v>46043.081944444442</v>
      </c>
      <c r="E389" s="2">
        <v>99</v>
      </c>
      <c r="F389" s="3" t="s">
        <v>63</v>
      </c>
      <c r="G389" s="3" t="s">
        <v>64</v>
      </c>
      <c r="H389" s="2">
        <v>29</v>
      </c>
      <c r="I389" s="6"/>
    </row>
    <row r="390">
      <c r="A390" s="3" t="s">
        <v>457</v>
      </c>
      <c r="B390" s="2">
        <v>20</v>
      </c>
      <c r="C390" s="2">
        <v>12</v>
      </c>
      <c r="D390" s="5">
        <v>46040.990277777775</v>
      </c>
      <c r="E390" s="2">
        <v>799</v>
      </c>
      <c r="F390" s="3" t="s">
        <v>78</v>
      </c>
      <c r="G390" s="3" t="s">
        <v>64</v>
      </c>
      <c r="H390" s="2">
        <v>53</v>
      </c>
      <c r="I390" s="6"/>
    </row>
    <row r="391">
      <c r="A391" s="3" t="s">
        <v>458</v>
      </c>
      <c r="B391" s="2">
        <v>19</v>
      </c>
      <c r="C391" s="2">
        <v>26</v>
      </c>
      <c r="D391" s="5">
        <v>46051.249305555553</v>
      </c>
      <c r="E391" s="2">
        <v>49</v>
      </c>
      <c r="F391" s="3" t="s">
        <v>66</v>
      </c>
      <c r="G391" s="3" t="s">
        <v>64</v>
      </c>
      <c r="H391" s="2">
        <v>100</v>
      </c>
      <c r="I391" s="6"/>
    </row>
    <row r="392">
      <c r="A392" s="3" t="s">
        <v>459</v>
      </c>
      <c r="B392" s="2">
        <v>149</v>
      </c>
      <c r="C392" s="2">
        <v>3</v>
      </c>
      <c r="D392" s="5">
        <v>46038.249305555553</v>
      </c>
      <c r="E392" s="2">
        <v>4999</v>
      </c>
      <c r="F392" s="3" t="s">
        <v>63</v>
      </c>
      <c r="G392" s="3" t="s">
        <v>64</v>
      </c>
      <c r="H392" s="2">
        <v>1</v>
      </c>
      <c r="I392" s="6"/>
    </row>
    <row r="393">
      <c r="A393" s="3" t="s">
        <v>460</v>
      </c>
      <c r="B393" s="2">
        <v>55</v>
      </c>
      <c r="C393" s="2">
        <v>22</v>
      </c>
      <c r="D393" s="5">
        <v>46032.776388888888</v>
      </c>
      <c r="E393" s="2">
        <v>499</v>
      </c>
      <c r="F393" s="3" t="s">
        <v>66</v>
      </c>
      <c r="G393" s="3" t="s">
        <v>64</v>
      </c>
      <c r="H393" s="2">
        <v>36</v>
      </c>
      <c r="I393" s="6"/>
    </row>
    <row r="394">
      <c r="A394" s="3" t="s">
        <v>461</v>
      </c>
      <c r="B394" s="2">
        <v>269</v>
      </c>
      <c r="C394" s="2">
        <v>32</v>
      </c>
      <c r="D394" s="5">
        <v>46037.856944444444</v>
      </c>
      <c r="E394" s="2">
        <v>49</v>
      </c>
      <c r="F394" s="3" t="s">
        <v>78</v>
      </c>
      <c r="G394" s="3" t="s">
        <v>64</v>
      </c>
      <c r="H394" s="2">
        <v>17</v>
      </c>
      <c r="I394" s="6"/>
    </row>
    <row r="395">
      <c r="A395" s="3" t="s">
        <v>462</v>
      </c>
      <c r="B395" s="2">
        <v>140</v>
      </c>
      <c r="C395" s="2">
        <v>13</v>
      </c>
      <c r="D395" s="5">
        <v>46050.686805555553</v>
      </c>
      <c r="E395" s="2">
        <v>2999</v>
      </c>
      <c r="F395" s="3" t="s">
        <v>66</v>
      </c>
      <c r="G395" s="3" t="s">
        <v>64</v>
      </c>
      <c r="H395" s="2">
        <v>14</v>
      </c>
      <c r="I395" s="6"/>
    </row>
    <row r="396">
      <c r="A396" s="3" t="s">
        <v>463</v>
      </c>
      <c r="B396" s="2">
        <v>235</v>
      </c>
      <c r="C396" s="2">
        <v>17</v>
      </c>
      <c r="D396" s="5">
        <v>46033.240277777775</v>
      </c>
      <c r="E396" s="2">
        <v>2999</v>
      </c>
      <c r="F396" s="3" t="s">
        <v>66</v>
      </c>
      <c r="G396" s="3" t="s">
        <v>64</v>
      </c>
      <c r="H396" s="2">
        <v>91</v>
      </c>
      <c r="I396" s="6"/>
    </row>
    <row r="397">
      <c r="A397" s="3" t="s">
        <v>464</v>
      </c>
      <c r="B397" s="2">
        <v>173</v>
      </c>
      <c r="C397" s="2">
        <v>19</v>
      </c>
      <c r="D397" s="5">
        <v>46028.032638888886</v>
      </c>
      <c r="E397" s="2">
        <v>499</v>
      </c>
      <c r="F397" s="3" t="s">
        <v>66</v>
      </c>
      <c r="G397" s="3" t="s">
        <v>79</v>
      </c>
      <c r="H397" s="2">
        <v>72</v>
      </c>
      <c r="I397" s="6"/>
    </row>
    <row r="398">
      <c r="A398" s="3" t="s">
        <v>465</v>
      </c>
      <c r="B398" s="2">
        <v>313</v>
      </c>
      <c r="C398" s="2">
        <v>26</v>
      </c>
      <c r="D398" s="5">
        <v>46044.257638888892</v>
      </c>
      <c r="E398" s="2">
        <v>499</v>
      </c>
      <c r="F398" s="3" t="s">
        <v>66</v>
      </c>
      <c r="G398" s="3" t="s">
        <v>64</v>
      </c>
      <c r="H398" s="2">
        <v>54</v>
      </c>
      <c r="I398" s="6"/>
    </row>
    <row r="399">
      <c r="A399" s="3" t="s">
        <v>466</v>
      </c>
      <c r="B399" s="2">
        <v>206</v>
      </c>
      <c r="C399" s="2">
        <v>7</v>
      </c>
      <c r="D399" s="5">
        <v>46039.420138888891</v>
      </c>
      <c r="E399" s="2">
        <v>149</v>
      </c>
      <c r="F399" s="3" t="s">
        <v>63</v>
      </c>
      <c r="G399" s="3" t="s">
        <v>64</v>
      </c>
      <c r="H399" s="2">
        <v>23</v>
      </c>
      <c r="I399" s="6"/>
    </row>
    <row r="400">
      <c r="A400" s="3" t="s">
        <v>467</v>
      </c>
      <c r="B400" s="2">
        <v>128</v>
      </c>
      <c r="C400" s="2">
        <v>1</v>
      </c>
      <c r="D400" s="5">
        <v>46027.638888888891</v>
      </c>
      <c r="E400" s="2">
        <v>1499</v>
      </c>
      <c r="F400" s="3" t="s">
        <v>69</v>
      </c>
      <c r="G400" s="3" t="s">
        <v>64</v>
      </c>
      <c r="H400" s="2">
        <v>33</v>
      </c>
      <c r="I400" s="6"/>
    </row>
    <row r="401">
      <c r="A401" s="3" t="s">
        <v>468</v>
      </c>
      <c r="B401" s="2">
        <v>137</v>
      </c>
      <c r="C401" s="2">
        <v>22</v>
      </c>
      <c r="D401" s="5">
        <v>46035.311111111114</v>
      </c>
      <c r="E401" s="2">
        <v>799</v>
      </c>
      <c r="F401" s="3" t="s">
        <v>66</v>
      </c>
      <c r="G401" s="3" t="s">
        <v>79</v>
      </c>
      <c r="H401" s="2">
        <v>38</v>
      </c>
      <c r="I401" s="6"/>
    </row>
    <row r="402">
      <c r="A402" s="3" t="s">
        <v>469</v>
      </c>
      <c r="B402" s="2">
        <v>6</v>
      </c>
      <c r="C402" s="2">
        <v>17</v>
      </c>
      <c r="D402" s="5">
        <v>46041.98333333333</v>
      </c>
      <c r="E402" s="2">
        <v>49</v>
      </c>
      <c r="F402" s="3" t="s">
        <v>66</v>
      </c>
      <c r="G402" s="3" t="s">
        <v>64</v>
      </c>
      <c r="H402" s="2">
        <v>83</v>
      </c>
      <c r="I402" s="6"/>
    </row>
    <row r="403">
      <c r="A403" s="3" t="s">
        <v>470</v>
      </c>
      <c r="B403" s="2">
        <v>32</v>
      </c>
      <c r="C403" s="2">
        <v>8</v>
      </c>
      <c r="D403" s="5">
        <v>46034.927083333336</v>
      </c>
      <c r="E403" s="2">
        <v>299</v>
      </c>
      <c r="F403" s="3" t="s">
        <v>78</v>
      </c>
      <c r="G403" s="3" t="s">
        <v>64</v>
      </c>
      <c r="H403" s="2">
        <v>59</v>
      </c>
      <c r="I403" s="6"/>
    </row>
    <row r="404">
      <c r="A404" s="3" t="s">
        <v>471</v>
      </c>
      <c r="B404" s="2">
        <v>258</v>
      </c>
      <c r="C404" s="2">
        <v>20</v>
      </c>
      <c r="D404" s="5">
        <v>46032.225694444445</v>
      </c>
      <c r="E404" s="2">
        <v>149</v>
      </c>
      <c r="F404" s="3" t="s">
        <v>66</v>
      </c>
      <c r="G404" s="3" t="s">
        <v>64</v>
      </c>
      <c r="H404" s="2">
        <v>88</v>
      </c>
      <c r="I404" s="6"/>
    </row>
    <row r="405">
      <c r="A405" s="3" t="s">
        <v>472</v>
      </c>
      <c r="B405" s="2">
        <v>152</v>
      </c>
      <c r="C405" s="2">
        <v>24</v>
      </c>
      <c r="D405" s="5">
        <v>46026.873611111114</v>
      </c>
      <c r="E405" s="2">
        <v>149</v>
      </c>
      <c r="F405" s="3" t="s">
        <v>66</v>
      </c>
      <c r="G405" s="3" t="s">
        <v>92</v>
      </c>
      <c r="H405" s="2">
        <v>78</v>
      </c>
      <c r="I405" s="6"/>
    </row>
    <row r="406">
      <c r="A406" s="3" t="s">
        <v>473</v>
      </c>
      <c r="B406" s="2">
        <v>245</v>
      </c>
      <c r="C406" s="2">
        <v>10</v>
      </c>
      <c r="D406" s="5">
        <v>46030.297222222223</v>
      </c>
      <c r="E406" s="2">
        <v>799</v>
      </c>
      <c r="F406" s="3" t="s">
        <v>63</v>
      </c>
      <c r="G406" s="3" t="s">
        <v>64</v>
      </c>
      <c r="H406" s="2">
        <v>58</v>
      </c>
      <c r="I406" s="6"/>
    </row>
    <row r="407">
      <c r="A407" s="3" t="s">
        <v>474</v>
      </c>
      <c r="B407" s="2">
        <v>213</v>
      </c>
      <c r="C407" s="2">
        <v>36</v>
      </c>
      <c r="D407" s="5">
        <v>46046.807638888888</v>
      </c>
      <c r="E407" s="2">
        <v>49</v>
      </c>
      <c r="F407" s="3" t="s">
        <v>63</v>
      </c>
      <c r="G407" s="3" t="s">
        <v>64</v>
      </c>
      <c r="H407" s="2">
        <v>60</v>
      </c>
      <c r="I407" s="6"/>
    </row>
    <row r="408">
      <c r="A408" s="3" t="s">
        <v>475</v>
      </c>
      <c r="B408" s="2">
        <v>341</v>
      </c>
      <c r="C408" s="2">
        <v>14</v>
      </c>
      <c r="D408" s="5">
        <v>46047.743750000001</v>
      </c>
      <c r="E408" s="2">
        <v>99</v>
      </c>
      <c r="F408" s="3" t="s">
        <v>69</v>
      </c>
      <c r="G408" s="3" t="s">
        <v>64</v>
      </c>
      <c r="H408" s="2">
        <v>97</v>
      </c>
      <c r="I408" s="6"/>
    </row>
    <row r="409">
      <c r="A409" s="3" t="s">
        <v>476</v>
      </c>
      <c r="B409" s="2">
        <v>306</v>
      </c>
      <c r="C409" s="2">
        <v>6</v>
      </c>
      <c r="D409" s="5">
        <v>46030.908333333333</v>
      </c>
      <c r="E409" s="2">
        <v>149</v>
      </c>
      <c r="F409" s="3" t="s">
        <v>69</v>
      </c>
      <c r="G409" s="3" t="s">
        <v>64</v>
      </c>
      <c r="H409" s="2">
        <v>67</v>
      </c>
      <c r="I409" s="6"/>
    </row>
    <row r="410">
      <c r="A410" s="3" t="s">
        <v>477</v>
      </c>
      <c r="B410" s="2">
        <v>186</v>
      </c>
      <c r="C410" s="2">
        <v>5</v>
      </c>
      <c r="D410" s="5">
        <v>46037.697916666664</v>
      </c>
      <c r="E410" s="2">
        <v>499</v>
      </c>
      <c r="F410" s="3" t="s">
        <v>66</v>
      </c>
      <c r="G410" s="3" t="s">
        <v>64</v>
      </c>
      <c r="H410" s="2">
        <v>72</v>
      </c>
      <c r="I410" s="6"/>
    </row>
    <row r="411">
      <c r="A411" s="3" t="s">
        <v>478</v>
      </c>
      <c r="B411" s="2">
        <v>281</v>
      </c>
      <c r="C411" s="2">
        <v>33</v>
      </c>
      <c r="D411" s="5">
        <v>46026.078472222223</v>
      </c>
      <c r="E411" s="2">
        <v>4999</v>
      </c>
      <c r="F411" s="3" t="s">
        <v>66</v>
      </c>
      <c r="G411" s="3" t="s">
        <v>64</v>
      </c>
      <c r="H411" s="2">
        <v>25</v>
      </c>
      <c r="I411" s="6"/>
    </row>
    <row r="412">
      <c r="A412" s="3" t="s">
        <v>479</v>
      </c>
      <c r="B412" s="2">
        <v>85</v>
      </c>
      <c r="C412" s="2">
        <v>21</v>
      </c>
      <c r="D412" s="5">
        <v>46041.714583333334</v>
      </c>
      <c r="E412" s="2">
        <v>99</v>
      </c>
      <c r="F412" s="3" t="s">
        <v>66</v>
      </c>
      <c r="G412" s="3" t="s">
        <v>64</v>
      </c>
      <c r="H412" s="2">
        <v>66</v>
      </c>
      <c r="I412" s="6"/>
    </row>
    <row r="413">
      <c r="A413" s="3" t="s">
        <v>480</v>
      </c>
      <c r="B413" s="2">
        <v>106</v>
      </c>
      <c r="C413" s="2">
        <v>38</v>
      </c>
      <c r="D413" s="5">
        <v>46037.154861111114</v>
      </c>
      <c r="E413" s="2">
        <v>499</v>
      </c>
      <c r="F413" s="3" t="s">
        <v>66</v>
      </c>
      <c r="G413" s="3" t="s">
        <v>64</v>
      </c>
      <c r="H413" s="2">
        <v>62</v>
      </c>
      <c r="I413" s="6"/>
    </row>
    <row r="414">
      <c r="A414" s="3" t="s">
        <v>481</v>
      </c>
      <c r="B414" s="2">
        <v>29</v>
      </c>
      <c r="C414" s="2">
        <v>30</v>
      </c>
      <c r="D414" s="5">
        <v>46025.686111111114</v>
      </c>
      <c r="E414" s="2">
        <v>149</v>
      </c>
      <c r="F414" s="3" t="s">
        <v>69</v>
      </c>
      <c r="G414" s="3" t="s">
        <v>64</v>
      </c>
      <c r="H414" s="2">
        <v>16</v>
      </c>
      <c r="I414" s="6"/>
    </row>
    <row r="415">
      <c r="A415" s="3" t="s">
        <v>482</v>
      </c>
      <c r="B415" s="2">
        <v>289</v>
      </c>
      <c r="C415" s="2">
        <v>4</v>
      </c>
      <c r="D415" s="5">
        <v>46039.561805555553</v>
      </c>
      <c r="E415" s="2">
        <v>1499</v>
      </c>
      <c r="F415" s="3" t="s">
        <v>78</v>
      </c>
      <c r="G415" s="3" t="s">
        <v>64</v>
      </c>
      <c r="H415" s="2">
        <v>71</v>
      </c>
      <c r="I415" s="6"/>
    </row>
    <row r="416">
      <c r="A416" s="3" t="s">
        <v>483</v>
      </c>
      <c r="B416" s="2">
        <v>158</v>
      </c>
      <c r="C416" s="2">
        <v>2</v>
      </c>
      <c r="D416" s="5">
        <v>46037.910416666666</v>
      </c>
      <c r="E416" s="2">
        <v>1499</v>
      </c>
      <c r="F416" s="3" t="s">
        <v>78</v>
      </c>
      <c r="G416" s="3" t="s">
        <v>64</v>
      </c>
      <c r="H416" s="2">
        <v>50</v>
      </c>
      <c r="I416" s="6"/>
    </row>
    <row r="417">
      <c r="A417" s="3" t="s">
        <v>484</v>
      </c>
      <c r="B417" s="2">
        <v>112</v>
      </c>
      <c r="C417" s="2">
        <v>38</v>
      </c>
      <c r="D417" s="5">
        <v>46031.032638888886</v>
      </c>
      <c r="E417" s="2">
        <v>49</v>
      </c>
      <c r="F417" s="3" t="s">
        <v>66</v>
      </c>
      <c r="G417" s="3" t="s">
        <v>64</v>
      </c>
      <c r="H417" s="2">
        <v>9</v>
      </c>
      <c r="I417" s="6"/>
    </row>
    <row r="418">
      <c r="A418" s="3" t="s">
        <v>485</v>
      </c>
      <c r="B418" s="2">
        <v>33</v>
      </c>
      <c r="C418" s="2">
        <v>35</v>
      </c>
      <c r="D418" s="5">
        <v>46024.556944444441</v>
      </c>
      <c r="E418" s="2">
        <v>299</v>
      </c>
      <c r="F418" s="3" t="s">
        <v>78</v>
      </c>
      <c r="G418" s="3" t="s">
        <v>79</v>
      </c>
      <c r="H418" s="2">
        <v>7</v>
      </c>
      <c r="I418" s="6"/>
    </row>
    <row r="419">
      <c r="A419" s="3" t="s">
        <v>486</v>
      </c>
      <c r="B419" s="2">
        <v>242</v>
      </c>
      <c r="C419" s="2">
        <v>3</v>
      </c>
      <c r="D419" s="5">
        <v>46052.124305555553</v>
      </c>
      <c r="E419" s="2">
        <v>49</v>
      </c>
      <c r="F419" s="3" t="s">
        <v>66</v>
      </c>
      <c r="G419" s="3" t="s">
        <v>64</v>
      </c>
      <c r="H419" s="2">
        <v>36</v>
      </c>
      <c r="I419" s="6"/>
    </row>
    <row r="420">
      <c r="A420" s="3" t="s">
        <v>487</v>
      </c>
      <c r="B420" s="2">
        <v>70</v>
      </c>
      <c r="C420" s="2">
        <v>27</v>
      </c>
      <c r="D420" s="5">
        <v>46036.242361111108</v>
      </c>
      <c r="E420" s="2">
        <v>149</v>
      </c>
      <c r="F420" s="3" t="s">
        <v>66</v>
      </c>
      <c r="G420" s="3" t="s">
        <v>64</v>
      </c>
      <c r="H420" s="2">
        <v>47</v>
      </c>
      <c r="I420" s="6"/>
    </row>
    <row r="421">
      <c r="A421" s="3" t="s">
        <v>488</v>
      </c>
      <c r="B421" s="2">
        <v>194</v>
      </c>
      <c r="C421" s="2">
        <v>25</v>
      </c>
      <c r="D421" s="5">
        <v>46051.519444444442</v>
      </c>
      <c r="E421" s="2">
        <v>49</v>
      </c>
      <c r="F421" s="3" t="s">
        <v>63</v>
      </c>
      <c r="G421" s="3" t="s">
        <v>64</v>
      </c>
      <c r="H421" s="2">
        <v>10</v>
      </c>
      <c r="I421" s="6"/>
    </row>
    <row r="422">
      <c r="A422" s="3" t="s">
        <v>489</v>
      </c>
      <c r="B422" s="2">
        <v>277</v>
      </c>
      <c r="C422" s="2">
        <v>9</v>
      </c>
      <c r="D422" s="5">
        <v>46044.913194444445</v>
      </c>
      <c r="E422" s="2">
        <v>799</v>
      </c>
      <c r="F422" s="3" t="s">
        <v>66</v>
      </c>
      <c r="G422" s="3" t="s">
        <v>64</v>
      </c>
      <c r="H422" s="2">
        <v>83</v>
      </c>
      <c r="I422" s="6"/>
    </row>
    <row r="423">
      <c r="A423" s="3" t="s">
        <v>490</v>
      </c>
      <c r="B423" s="2">
        <v>92</v>
      </c>
      <c r="C423" s="2">
        <v>35</v>
      </c>
      <c r="D423" s="5">
        <v>46050.463194444441</v>
      </c>
      <c r="E423" s="2">
        <v>49</v>
      </c>
      <c r="F423" s="3" t="s">
        <v>66</v>
      </c>
      <c r="G423" s="3" t="s">
        <v>64</v>
      </c>
      <c r="H423" s="2">
        <v>50</v>
      </c>
      <c r="I423" s="6"/>
    </row>
    <row r="424">
      <c r="A424" s="3" t="s">
        <v>491</v>
      </c>
      <c r="B424" s="2">
        <v>115</v>
      </c>
      <c r="C424" s="2">
        <v>1</v>
      </c>
      <c r="D424" s="5">
        <v>46039.198611111111</v>
      </c>
      <c r="E424" s="2">
        <v>149</v>
      </c>
      <c r="F424" s="3" t="s">
        <v>63</v>
      </c>
      <c r="G424" s="3" t="s">
        <v>64</v>
      </c>
      <c r="H424" s="2">
        <v>96</v>
      </c>
      <c r="I424" s="6"/>
    </row>
    <row r="425">
      <c r="A425" s="3" t="s">
        <v>492</v>
      </c>
      <c r="B425" s="2">
        <v>345</v>
      </c>
      <c r="C425" s="2">
        <v>35</v>
      </c>
      <c r="D425" s="5">
        <v>46023.395138888889</v>
      </c>
      <c r="E425" s="2">
        <v>499</v>
      </c>
      <c r="F425" s="3" t="s">
        <v>78</v>
      </c>
      <c r="G425" s="3" t="s">
        <v>64</v>
      </c>
      <c r="H425" s="2">
        <v>54</v>
      </c>
      <c r="I425" s="6"/>
    </row>
    <row r="426">
      <c r="A426" s="3" t="s">
        <v>493</v>
      </c>
      <c r="B426" s="2">
        <v>118</v>
      </c>
      <c r="C426" s="2">
        <v>16</v>
      </c>
      <c r="D426" s="5">
        <v>46040.536111111112</v>
      </c>
      <c r="E426" s="2">
        <v>49</v>
      </c>
      <c r="F426" s="3" t="s">
        <v>66</v>
      </c>
      <c r="G426" s="3" t="s">
        <v>64</v>
      </c>
      <c r="H426" s="2">
        <v>58</v>
      </c>
      <c r="I426" s="6"/>
    </row>
    <row r="427">
      <c r="A427" s="3" t="s">
        <v>494</v>
      </c>
      <c r="B427" s="2">
        <v>97</v>
      </c>
      <c r="C427" s="2">
        <v>8</v>
      </c>
      <c r="D427" s="5">
        <v>46034.178472222222</v>
      </c>
      <c r="E427" s="2">
        <v>99</v>
      </c>
      <c r="F427" s="3" t="s">
        <v>69</v>
      </c>
      <c r="G427" s="3" t="s">
        <v>64</v>
      </c>
      <c r="H427" s="2">
        <v>4</v>
      </c>
      <c r="I427" s="6"/>
    </row>
    <row r="428">
      <c r="A428" s="3" t="s">
        <v>495</v>
      </c>
      <c r="B428" s="2">
        <v>315</v>
      </c>
      <c r="C428" s="2">
        <v>2</v>
      </c>
      <c r="D428" s="5">
        <v>46048.893055555556</v>
      </c>
      <c r="E428" s="2">
        <v>299</v>
      </c>
      <c r="F428" s="3" t="s">
        <v>63</v>
      </c>
      <c r="G428" s="3" t="s">
        <v>64</v>
      </c>
      <c r="H428" s="2">
        <v>30</v>
      </c>
      <c r="I428" s="6"/>
    </row>
    <row r="429">
      <c r="A429" s="3" t="s">
        <v>496</v>
      </c>
      <c r="B429" s="2">
        <v>305</v>
      </c>
      <c r="C429" s="2">
        <v>3</v>
      </c>
      <c r="D429" s="5">
        <v>46029.087500000001</v>
      </c>
      <c r="E429" s="2">
        <v>299</v>
      </c>
      <c r="F429" s="3" t="s">
        <v>66</v>
      </c>
      <c r="G429" s="3" t="s">
        <v>64</v>
      </c>
      <c r="H429" s="2">
        <v>57</v>
      </c>
      <c r="I429" s="6"/>
    </row>
    <row r="430">
      <c r="A430" s="3" t="s">
        <v>497</v>
      </c>
      <c r="B430" s="2">
        <v>25</v>
      </c>
      <c r="C430" s="2">
        <v>16</v>
      </c>
      <c r="D430" s="5">
        <v>46042.90625</v>
      </c>
      <c r="E430" s="2">
        <v>299</v>
      </c>
      <c r="F430" s="3" t="s">
        <v>66</v>
      </c>
      <c r="G430" s="3" t="s">
        <v>64</v>
      </c>
      <c r="H430" s="2">
        <v>94</v>
      </c>
      <c r="I430" s="6"/>
    </row>
    <row r="431">
      <c r="A431" s="3" t="s">
        <v>498</v>
      </c>
      <c r="B431" s="2">
        <v>120</v>
      </c>
      <c r="C431" s="2">
        <v>35</v>
      </c>
      <c r="D431" s="5">
        <v>46024.519444444442</v>
      </c>
      <c r="E431" s="2">
        <v>49</v>
      </c>
      <c r="F431" s="3" t="s">
        <v>66</v>
      </c>
      <c r="G431" s="3" t="s">
        <v>64</v>
      </c>
      <c r="H431" s="2">
        <v>27</v>
      </c>
      <c r="I431" s="6"/>
    </row>
    <row r="432">
      <c r="A432" s="3" t="s">
        <v>499</v>
      </c>
      <c r="B432" s="2">
        <v>258</v>
      </c>
      <c r="C432" s="2">
        <v>19</v>
      </c>
      <c r="D432" s="5">
        <v>46047.047222222223</v>
      </c>
      <c r="E432" s="2">
        <v>49</v>
      </c>
      <c r="F432" s="3" t="s">
        <v>63</v>
      </c>
      <c r="G432" s="3" t="s">
        <v>64</v>
      </c>
      <c r="H432" s="2">
        <v>29</v>
      </c>
      <c r="I432" s="6"/>
    </row>
    <row r="433">
      <c r="A433" s="3" t="s">
        <v>500</v>
      </c>
      <c r="B433" s="2">
        <v>164</v>
      </c>
      <c r="C433" s="2">
        <v>37</v>
      </c>
      <c r="D433" s="5">
        <v>46049.98333333333</v>
      </c>
      <c r="E433" s="2">
        <v>799</v>
      </c>
      <c r="F433" s="3" t="s">
        <v>66</v>
      </c>
      <c r="G433" s="3" t="s">
        <v>64</v>
      </c>
      <c r="H433" s="2">
        <v>76</v>
      </c>
      <c r="I433" s="6"/>
    </row>
    <row r="434">
      <c r="A434" s="3" t="s">
        <v>501</v>
      </c>
      <c r="B434" s="2">
        <v>165</v>
      </c>
      <c r="C434" s="2">
        <v>16</v>
      </c>
      <c r="D434" s="5">
        <v>46047.911111111112</v>
      </c>
      <c r="E434" s="2">
        <v>49</v>
      </c>
      <c r="F434" s="3" t="s">
        <v>63</v>
      </c>
      <c r="G434" s="3" t="s">
        <v>64</v>
      </c>
      <c r="H434" s="2">
        <v>38</v>
      </c>
      <c r="I434" s="6"/>
    </row>
    <row r="435">
      <c r="A435" s="3" t="s">
        <v>502</v>
      </c>
      <c r="B435" s="2">
        <v>267</v>
      </c>
      <c r="C435" s="2">
        <v>15</v>
      </c>
      <c r="D435" s="5">
        <v>46051.195833333331</v>
      </c>
      <c r="E435" s="2">
        <v>49</v>
      </c>
      <c r="F435" s="3" t="s">
        <v>69</v>
      </c>
      <c r="G435" s="3" t="s">
        <v>64</v>
      </c>
      <c r="H435" s="2">
        <v>52</v>
      </c>
      <c r="I435" s="6"/>
    </row>
    <row r="436">
      <c r="A436" s="3" t="s">
        <v>503</v>
      </c>
      <c r="B436" s="2">
        <v>286</v>
      </c>
      <c r="C436" s="2">
        <v>38</v>
      </c>
      <c r="D436" s="5">
        <v>46032.335416666669</v>
      </c>
      <c r="E436" s="2">
        <v>299</v>
      </c>
      <c r="F436" s="3" t="s">
        <v>63</v>
      </c>
      <c r="G436" s="3" t="s">
        <v>64</v>
      </c>
      <c r="H436" s="2">
        <v>94</v>
      </c>
      <c r="I436" s="6"/>
    </row>
    <row r="437">
      <c r="A437" s="3" t="s">
        <v>504</v>
      </c>
      <c r="B437" s="2">
        <v>348</v>
      </c>
      <c r="C437" s="2">
        <v>28</v>
      </c>
      <c r="D437" s="5">
        <v>46052.236111111109</v>
      </c>
      <c r="E437" s="2">
        <v>499</v>
      </c>
      <c r="F437" s="3" t="s">
        <v>78</v>
      </c>
      <c r="G437" s="3" t="s">
        <v>64</v>
      </c>
      <c r="H437" s="2">
        <v>71</v>
      </c>
      <c r="I437" s="6"/>
    </row>
    <row r="438">
      <c r="A438" s="3" t="s">
        <v>505</v>
      </c>
      <c r="B438" s="2">
        <v>330</v>
      </c>
      <c r="C438" s="2">
        <v>25</v>
      </c>
      <c r="D438" s="5">
        <v>46038.056944444441</v>
      </c>
      <c r="E438" s="2">
        <v>799</v>
      </c>
      <c r="F438" s="3" t="s">
        <v>66</v>
      </c>
      <c r="G438" s="3" t="s">
        <v>64</v>
      </c>
      <c r="H438" s="2">
        <v>100</v>
      </c>
      <c r="I438" s="6"/>
    </row>
    <row r="439">
      <c r="A439" s="3" t="s">
        <v>506</v>
      </c>
      <c r="B439" s="2">
        <v>214</v>
      </c>
      <c r="C439" s="2">
        <v>27</v>
      </c>
      <c r="D439" s="5">
        <v>46039.447222222225</v>
      </c>
      <c r="E439" s="2">
        <v>299</v>
      </c>
      <c r="F439" s="3" t="s">
        <v>78</v>
      </c>
      <c r="G439" s="3" t="s">
        <v>64</v>
      </c>
      <c r="H439" s="2">
        <v>19</v>
      </c>
      <c r="I439" s="6"/>
    </row>
    <row r="440">
      <c r="A440" s="3" t="s">
        <v>507</v>
      </c>
      <c r="B440" s="2">
        <v>276</v>
      </c>
      <c r="C440" s="2">
        <v>31</v>
      </c>
      <c r="D440" s="5">
        <v>46032.507638888892</v>
      </c>
      <c r="E440" s="2">
        <v>499</v>
      </c>
      <c r="F440" s="3" t="s">
        <v>66</v>
      </c>
      <c r="G440" s="3" t="s">
        <v>64</v>
      </c>
      <c r="H440" s="2">
        <v>30</v>
      </c>
      <c r="I440" s="6"/>
    </row>
    <row r="441">
      <c r="A441" s="3" t="s">
        <v>508</v>
      </c>
      <c r="B441" s="2">
        <v>74</v>
      </c>
      <c r="C441" s="2">
        <v>30</v>
      </c>
      <c r="D441" s="5">
        <v>46050.304861111108</v>
      </c>
      <c r="E441" s="2">
        <v>49</v>
      </c>
      <c r="F441" s="3" t="s">
        <v>66</v>
      </c>
      <c r="G441" s="3" t="s">
        <v>64</v>
      </c>
      <c r="H441" s="2">
        <v>7</v>
      </c>
      <c r="I441" s="6"/>
    </row>
    <row r="442">
      <c r="A442" s="3" t="s">
        <v>509</v>
      </c>
      <c r="B442" s="2">
        <v>286</v>
      </c>
      <c r="C442" s="2">
        <v>34</v>
      </c>
      <c r="D442" s="5">
        <v>46040.55972222222</v>
      </c>
      <c r="E442" s="2">
        <v>49</v>
      </c>
      <c r="F442" s="3" t="s">
        <v>78</v>
      </c>
      <c r="G442" s="3" t="s">
        <v>64</v>
      </c>
      <c r="H442" s="2">
        <v>17</v>
      </c>
      <c r="I442" s="6"/>
    </row>
    <row r="443">
      <c r="A443" s="3" t="s">
        <v>510</v>
      </c>
      <c r="B443" s="2">
        <v>105</v>
      </c>
      <c r="C443" s="2">
        <v>22</v>
      </c>
      <c r="D443" s="5">
        <v>46035.302777777775</v>
      </c>
      <c r="E443" s="2">
        <v>4999</v>
      </c>
      <c r="F443" s="3" t="s">
        <v>66</v>
      </c>
      <c r="G443" s="3" t="s">
        <v>64</v>
      </c>
      <c r="H443" s="2">
        <v>82</v>
      </c>
      <c r="I443" s="6"/>
    </row>
    <row r="444">
      <c r="A444" s="3" t="s">
        <v>511</v>
      </c>
      <c r="B444" s="2">
        <v>190</v>
      </c>
      <c r="C444" s="2">
        <v>6</v>
      </c>
      <c r="D444" s="5">
        <v>46025.620833333334</v>
      </c>
      <c r="E444" s="2">
        <v>799</v>
      </c>
      <c r="F444" s="3" t="s">
        <v>63</v>
      </c>
      <c r="G444" s="3" t="s">
        <v>64</v>
      </c>
      <c r="H444" s="2">
        <v>68</v>
      </c>
      <c r="I444" s="6"/>
    </row>
    <row r="445">
      <c r="A445" s="3" t="s">
        <v>512</v>
      </c>
      <c r="B445" s="2">
        <v>138</v>
      </c>
      <c r="C445" s="2">
        <v>25</v>
      </c>
      <c r="D445" s="5">
        <v>46046.252083333333</v>
      </c>
      <c r="E445" s="2">
        <v>299</v>
      </c>
      <c r="F445" s="3" t="s">
        <v>63</v>
      </c>
      <c r="G445" s="3" t="s">
        <v>64</v>
      </c>
      <c r="H445" s="2">
        <v>86</v>
      </c>
      <c r="I445" s="6"/>
    </row>
    <row r="446">
      <c r="A446" s="3" t="s">
        <v>513</v>
      </c>
      <c r="B446" s="2">
        <v>38</v>
      </c>
      <c r="C446" s="2">
        <v>13</v>
      </c>
      <c r="D446" s="5">
        <v>46042.793055555558</v>
      </c>
      <c r="E446" s="2">
        <v>4999</v>
      </c>
      <c r="F446" s="3" t="s">
        <v>69</v>
      </c>
      <c r="G446" s="3" t="s">
        <v>64</v>
      </c>
      <c r="H446" s="2">
        <v>97</v>
      </c>
      <c r="I446" s="6"/>
    </row>
    <row r="447">
      <c r="A447" s="3" t="s">
        <v>514</v>
      </c>
      <c r="B447" s="2">
        <v>287</v>
      </c>
      <c r="C447" s="2">
        <v>14</v>
      </c>
      <c r="D447" s="5">
        <v>46041.987500000003</v>
      </c>
      <c r="E447" s="2">
        <v>99</v>
      </c>
      <c r="F447" s="3" t="s">
        <v>63</v>
      </c>
      <c r="G447" s="3" t="s">
        <v>64</v>
      </c>
      <c r="H447" s="2">
        <v>61</v>
      </c>
      <c r="I447" s="6"/>
    </row>
    <row r="448">
      <c r="A448" s="3" t="s">
        <v>515</v>
      </c>
      <c r="B448" s="2">
        <v>8</v>
      </c>
      <c r="C448" s="2">
        <v>14</v>
      </c>
      <c r="D448" s="5">
        <v>46029.429861111108</v>
      </c>
      <c r="E448" s="2">
        <v>49</v>
      </c>
      <c r="F448" s="3" t="s">
        <v>66</v>
      </c>
      <c r="G448" s="3" t="s">
        <v>64</v>
      </c>
      <c r="H448" s="2">
        <v>24</v>
      </c>
      <c r="I448" s="6"/>
    </row>
    <row r="449">
      <c r="A449" s="3" t="s">
        <v>516</v>
      </c>
      <c r="B449" s="2">
        <v>246</v>
      </c>
      <c r="C449" s="2">
        <v>16</v>
      </c>
      <c r="D449" s="5">
        <v>46046.157638888886</v>
      </c>
      <c r="E449" s="2">
        <v>1499</v>
      </c>
      <c r="F449" s="3" t="s">
        <v>63</v>
      </c>
      <c r="G449" s="3" t="s">
        <v>64</v>
      </c>
      <c r="H449" s="2">
        <v>89</v>
      </c>
      <c r="I449" s="6"/>
    </row>
    <row r="450">
      <c r="A450" s="3" t="s">
        <v>517</v>
      </c>
      <c r="B450" s="2">
        <v>204</v>
      </c>
      <c r="C450" s="2">
        <v>16</v>
      </c>
      <c r="D450" s="5">
        <v>46042.925694444442</v>
      </c>
      <c r="E450" s="2">
        <v>149</v>
      </c>
      <c r="F450" s="3" t="s">
        <v>66</v>
      </c>
      <c r="G450" s="3" t="s">
        <v>64</v>
      </c>
      <c r="H450" s="2">
        <v>70</v>
      </c>
      <c r="I450" s="6"/>
    </row>
    <row r="451">
      <c r="A451" s="3" t="s">
        <v>518</v>
      </c>
      <c r="B451" s="2">
        <v>239</v>
      </c>
      <c r="C451" s="2">
        <v>35</v>
      </c>
      <c r="D451" s="5">
        <v>46033.39166666667</v>
      </c>
      <c r="E451" s="2">
        <v>4999</v>
      </c>
      <c r="F451" s="3" t="s">
        <v>66</v>
      </c>
      <c r="G451" s="3" t="s">
        <v>64</v>
      </c>
      <c r="H451" s="2">
        <v>83</v>
      </c>
      <c r="I451" s="6"/>
    </row>
    <row r="452">
      <c r="A452" s="3" t="s">
        <v>519</v>
      </c>
      <c r="B452" s="2">
        <v>185</v>
      </c>
      <c r="C452" s="2">
        <v>33</v>
      </c>
      <c r="D452" s="5">
        <v>46034.386111111111</v>
      </c>
      <c r="E452" s="2">
        <v>299</v>
      </c>
      <c r="F452" s="3" t="s">
        <v>66</v>
      </c>
      <c r="G452" s="3" t="s">
        <v>64</v>
      </c>
      <c r="H452" s="2">
        <v>63</v>
      </c>
      <c r="I452" s="6"/>
    </row>
    <row r="453">
      <c r="A453" s="3" t="s">
        <v>520</v>
      </c>
      <c r="B453" s="2">
        <v>241</v>
      </c>
      <c r="C453" s="2">
        <v>21</v>
      </c>
      <c r="D453" s="5">
        <v>46037.160416666666</v>
      </c>
      <c r="E453" s="2">
        <v>299</v>
      </c>
      <c r="F453" s="3" t="s">
        <v>78</v>
      </c>
      <c r="G453" s="3" t="s">
        <v>64</v>
      </c>
      <c r="H453" s="2">
        <v>26</v>
      </c>
      <c r="I453" s="6"/>
    </row>
    <row r="454">
      <c r="A454" s="3" t="s">
        <v>521</v>
      </c>
      <c r="B454" s="2">
        <v>24</v>
      </c>
      <c r="C454" s="2">
        <v>37</v>
      </c>
      <c r="D454" s="5">
        <v>46034.43472222222</v>
      </c>
      <c r="E454" s="2">
        <v>149</v>
      </c>
      <c r="F454" s="3" t="s">
        <v>66</v>
      </c>
      <c r="G454" s="3" t="s">
        <v>64</v>
      </c>
      <c r="H454" s="2">
        <v>28</v>
      </c>
      <c r="I454" s="6"/>
    </row>
    <row r="455">
      <c r="A455" s="3" t="s">
        <v>522</v>
      </c>
      <c r="B455" s="2">
        <v>134</v>
      </c>
      <c r="C455" s="2">
        <v>36</v>
      </c>
      <c r="D455" s="5">
        <v>46046.167361111111</v>
      </c>
      <c r="E455" s="2">
        <v>1499</v>
      </c>
      <c r="F455" s="3" t="s">
        <v>66</v>
      </c>
      <c r="G455" s="3" t="s">
        <v>64</v>
      </c>
      <c r="H455" s="2">
        <v>74</v>
      </c>
      <c r="I455" s="6"/>
    </row>
    <row r="456">
      <c r="A456" s="3" t="s">
        <v>523</v>
      </c>
      <c r="B456" s="2">
        <v>152</v>
      </c>
      <c r="C456" s="2">
        <v>10</v>
      </c>
      <c r="D456" s="5">
        <v>46041.976388888892</v>
      </c>
      <c r="E456" s="2">
        <v>499</v>
      </c>
      <c r="F456" s="3" t="s">
        <v>63</v>
      </c>
      <c r="G456" s="3" t="s">
        <v>64</v>
      </c>
      <c r="H456" s="2">
        <v>25</v>
      </c>
      <c r="I456" s="6"/>
    </row>
    <row r="457">
      <c r="A457" s="3" t="s">
        <v>524</v>
      </c>
      <c r="B457" s="2">
        <v>292</v>
      </c>
      <c r="C457" s="2">
        <v>16</v>
      </c>
      <c r="D457" s="5">
        <v>46033.308333333334</v>
      </c>
      <c r="E457" s="2">
        <v>499</v>
      </c>
      <c r="F457" s="3" t="s">
        <v>69</v>
      </c>
      <c r="G457" s="3" t="s">
        <v>64</v>
      </c>
      <c r="H457" s="2">
        <v>63</v>
      </c>
      <c r="I457" s="6"/>
    </row>
    <row r="458">
      <c r="A458" s="3" t="s">
        <v>525</v>
      </c>
      <c r="B458" s="2">
        <v>173</v>
      </c>
      <c r="C458" s="2">
        <v>17</v>
      </c>
      <c r="D458" s="5">
        <v>46040.863194444442</v>
      </c>
      <c r="E458" s="2">
        <v>99</v>
      </c>
      <c r="F458" s="3" t="s">
        <v>69</v>
      </c>
      <c r="G458" s="3" t="s">
        <v>64</v>
      </c>
      <c r="H458" s="2">
        <v>97</v>
      </c>
      <c r="I458" s="6"/>
    </row>
    <row r="459">
      <c r="A459" s="3" t="s">
        <v>526</v>
      </c>
      <c r="B459" s="2">
        <v>329</v>
      </c>
      <c r="C459" s="2">
        <v>32</v>
      </c>
      <c r="D459" s="5">
        <v>46049.656944444447</v>
      </c>
      <c r="E459" s="2">
        <v>1499</v>
      </c>
      <c r="F459" s="3" t="s">
        <v>66</v>
      </c>
      <c r="G459" s="3" t="s">
        <v>64</v>
      </c>
      <c r="H459" s="2">
        <v>58</v>
      </c>
      <c r="I459" s="6"/>
    </row>
    <row r="460">
      <c r="A460" s="3" t="s">
        <v>527</v>
      </c>
      <c r="B460" s="2">
        <v>181</v>
      </c>
      <c r="C460" s="2">
        <v>11</v>
      </c>
      <c r="D460" s="5">
        <v>46028.993055555555</v>
      </c>
      <c r="E460" s="2">
        <v>1499</v>
      </c>
      <c r="F460" s="3" t="s">
        <v>66</v>
      </c>
      <c r="G460" s="3" t="s">
        <v>64</v>
      </c>
      <c r="H460" s="2">
        <v>17</v>
      </c>
      <c r="I460" s="6"/>
    </row>
    <row r="461">
      <c r="A461" s="3" t="s">
        <v>528</v>
      </c>
      <c r="B461" s="2">
        <v>95</v>
      </c>
      <c r="C461" s="2">
        <v>35</v>
      </c>
      <c r="D461" s="5">
        <v>46046.729861111111</v>
      </c>
      <c r="E461" s="2">
        <v>149</v>
      </c>
      <c r="F461" s="3" t="s">
        <v>63</v>
      </c>
      <c r="G461" s="3" t="s">
        <v>64</v>
      </c>
      <c r="H461" s="2">
        <v>82</v>
      </c>
      <c r="I461" s="6"/>
    </row>
    <row r="462">
      <c r="A462" s="3" t="s">
        <v>529</v>
      </c>
      <c r="B462" s="2">
        <v>39</v>
      </c>
      <c r="C462" s="2">
        <v>4</v>
      </c>
      <c r="D462" s="5">
        <v>46024.668055555558</v>
      </c>
      <c r="E462" s="2">
        <v>149</v>
      </c>
      <c r="F462" s="3" t="s">
        <v>69</v>
      </c>
      <c r="G462" s="3" t="s">
        <v>64</v>
      </c>
      <c r="H462" s="2">
        <v>97</v>
      </c>
      <c r="I462" s="6"/>
    </row>
    <row r="463">
      <c r="A463" s="3" t="s">
        <v>530</v>
      </c>
      <c r="B463" s="2">
        <v>323</v>
      </c>
      <c r="C463" s="2">
        <v>15</v>
      </c>
      <c r="D463" s="5">
        <v>46023.547222222223</v>
      </c>
      <c r="E463" s="2">
        <v>499</v>
      </c>
      <c r="F463" s="3" t="s">
        <v>66</v>
      </c>
      <c r="G463" s="3" t="s">
        <v>64</v>
      </c>
      <c r="H463" s="2">
        <v>8</v>
      </c>
      <c r="I463" s="6"/>
    </row>
    <row r="464">
      <c r="A464" s="3" t="s">
        <v>531</v>
      </c>
      <c r="B464" s="2">
        <v>112</v>
      </c>
      <c r="C464" s="2">
        <v>33</v>
      </c>
      <c r="D464" s="5">
        <v>46045.166666666664</v>
      </c>
      <c r="E464" s="2">
        <v>49</v>
      </c>
      <c r="F464" s="3" t="s">
        <v>69</v>
      </c>
      <c r="G464" s="3" t="s">
        <v>64</v>
      </c>
      <c r="H464" s="2">
        <v>58</v>
      </c>
      <c r="I464" s="6"/>
    </row>
    <row r="465">
      <c r="A465" s="3" t="s">
        <v>532</v>
      </c>
      <c r="B465" s="2">
        <v>327</v>
      </c>
      <c r="C465" s="2">
        <v>40</v>
      </c>
      <c r="D465" s="5">
        <v>46034.068749999999</v>
      </c>
      <c r="E465" s="2">
        <v>99</v>
      </c>
      <c r="F465" s="3" t="s">
        <v>66</v>
      </c>
      <c r="G465" s="3" t="s">
        <v>64</v>
      </c>
      <c r="H465" s="2">
        <v>61</v>
      </c>
      <c r="I465" s="6"/>
    </row>
    <row r="466">
      <c r="A466" s="3" t="s">
        <v>533</v>
      </c>
      <c r="B466" s="2">
        <v>4</v>
      </c>
      <c r="C466" s="2">
        <v>35</v>
      </c>
      <c r="D466" s="5">
        <v>46044.625694444447</v>
      </c>
      <c r="E466" s="2">
        <v>299</v>
      </c>
      <c r="F466" s="3" t="s">
        <v>66</v>
      </c>
      <c r="G466" s="3" t="s">
        <v>64</v>
      </c>
      <c r="H466" s="2">
        <v>70</v>
      </c>
      <c r="I466" s="6"/>
    </row>
    <row r="467">
      <c r="A467" s="3" t="s">
        <v>534</v>
      </c>
      <c r="B467" s="2">
        <v>272</v>
      </c>
      <c r="C467" s="2">
        <v>18</v>
      </c>
      <c r="D467" s="5">
        <v>46036.000694444447</v>
      </c>
      <c r="E467" s="2">
        <v>149</v>
      </c>
      <c r="F467" s="3" t="s">
        <v>66</v>
      </c>
      <c r="G467" s="3" t="s">
        <v>64</v>
      </c>
      <c r="H467" s="2">
        <v>68</v>
      </c>
      <c r="I467" s="6"/>
    </row>
    <row r="468">
      <c r="A468" s="3" t="s">
        <v>535</v>
      </c>
      <c r="B468" s="2">
        <v>346</v>
      </c>
      <c r="C468" s="2">
        <v>28</v>
      </c>
      <c r="D468" s="5">
        <v>46032.022222222222</v>
      </c>
      <c r="E468" s="2">
        <v>499</v>
      </c>
      <c r="F468" s="3" t="s">
        <v>66</v>
      </c>
      <c r="G468" s="3" t="s">
        <v>64</v>
      </c>
      <c r="H468" s="2">
        <v>22</v>
      </c>
      <c r="I468" s="6"/>
    </row>
    <row r="469">
      <c r="A469" s="3" t="s">
        <v>536</v>
      </c>
      <c r="B469" s="2">
        <v>77</v>
      </c>
      <c r="C469" s="2">
        <v>16</v>
      </c>
      <c r="D469" s="5">
        <v>46026.147916666669</v>
      </c>
      <c r="E469" s="2">
        <v>49</v>
      </c>
      <c r="F469" s="3" t="s">
        <v>63</v>
      </c>
      <c r="G469" s="3" t="s">
        <v>64</v>
      </c>
      <c r="H469" s="2">
        <v>24</v>
      </c>
      <c r="I469" s="6"/>
    </row>
    <row r="470">
      <c r="A470" s="3" t="s">
        <v>537</v>
      </c>
      <c r="B470" s="2">
        <v>182</v>
      </c>
      <c r="C470" s="2">
        <v>18</v>
      </c>
      <c r="D470" s="5">
        <v>46042.677777777775</v>
      </c>
      <c r="E470" s="2">
        <v>149</v>
      </c>
      <c r="F470" s="3" t="s">
        <v>78</v>
      </c>
      <c r="G470" s="3" t="s">
        <v>64</v>
      </c>
      <c r="H470" s="2">
        <v>50</v>
      </c>
      <c r="I470" s="6"/>
    </row>
    <row r="471">
      <c r="A471" s="3" t="s">
        <v>538</v>
      </c>
      <c r="B471" s="2">
        <v>236</v>
      </c>
      <c r="C471" s="2">
        <v>37</v>
      </c>
      <c r="D471" s="5">
        <v>46025.475694444445</v>
      </c>
      <c r="E471" s="2">
        <v>299</v>
      </c>
      <c r="F471" s="3" t="s">
        <v>78</v>
      </c>
      <c r="G471" s="3" t="s">
        <v>64</v>
      </c>
      <c r="H471" s="2">
        <v>31</v>
      </c>
      <c r="I471" s="6"/>
    </row>
    <row r="472">
      <c r="A472" s="3" t="s">
        <v>539</v>
      </c>
      <c r="B472" s="2">
        <v>42</v>
      </c>
      <c r="C472" s="2">
        <v>3</v>
      </c>
      <c r="D472" s="5">
        <v>46045.304861111108</v>
      </c>
      <c r="E472" s="2">
        <v>49</v>
      </c>
      <c r="F472" s="3" t="s">
        <v>66</v>
      </c>
      <c r="G472" s="3" t="s">
        <v>64</v>
      </c>
      <c r="H472" s="2">
        <v>11</v>
      </c>
      <c r="I472" s="6"/>
    </row>
    <row r="473">
      <c r="A473" s="3" t="s">
        <v>540</v>
      </c>
      <c r="B473" s="2">
        <v>283</v>
      </c>
      <c r="C473" s="2">
        <v>31</v>
      </c>
      <c r="D473" s="5">
        <v>46035.51666666667</v>
      </c>
      <c r="E473" s="2">
        <v>299</v>
      </c>
      <c r="F473" s="3" t="s">
        <v>69</v>
      </c>
      <c r="G473" s="3" t="s">
        <v>64</v>
      </c>
      <c r="H473" s="2">
        <v>7</v>
      </c>
      <c r="I473" s="6"/>
    </row>
    <row r="474">
      <c r="A474" s="3" t="s">
        <v>541</v>
      </c>
      <c r="B474" s="2">
        <v>88</v>
      </c>
      <c r="C474" s="2">
        <v>6</v>
      </c>
      <c r="D474" s="5">
        <v>46043.030555555553</v>
      </c>
      <c r="E474" s="2">
        <v>49</v>
      </c>
      <c r="F474" s="3" t="s">
        <v>66</v>
      </c>
      <c r="G474" s="3" t="s">
        <v>64</v>
      </c>
      <c r="H474" s="2">
        <v>63</v>
      </c>
      <c r="I474" s="6"/>
    </row>
    <row r="475">
      <c r="A475" s="3" t="s">
        <v>542</v>
      </c>
      <c r="B475" s="2">
        <v>170</v>
      </c>
      <c r="C475" s="2">
        <v>37</v>
      </c>
      <c r="D475" s="5">
        <v>46050.570138888892</v>
      </c>
      <c r="E475" s="2">
        <v>99</v>
      </c>
      <c r="F475" s="3" t="s">
        <v>66</v>
      </c>
      <c r="G475" s="3" t="s">
        <v>79</v>
      </c>
      <c r="H475" s="2">
        <v>12</v>
      </c>
      <c r="I475" s="6"/>
    </row>
    <row r="476">
      <c r="A476" s="3" t="s">
        <v>543</v>
      </c>
      <c r="B476" s="2">
        <v>22</v>
      </c>
      <c r="C476" s="2">
        <v>15</v>
      </c>
      <c r="D476" s="5">
        <v>46051.706944444442</v>
      </c>
      <c r="E476" s="2">
        <v>49</v>
      </c>
      <c r="F476" s="3" t="s">
        <v>69</v>
      </c>
      <c r="G476" s="3" t="s">
        <v>64</v>
      </c>
      <c r="H476" s="2">
        <v>27</v>
      </c>
      <c r="I476" s="6"/>
    </row>
    <row r="477">
      <c r="A477" s="3" t="s">
        <v>544</v>
      </c>
      <c r="B477" s="2">
        <v>291</v>
      </c>
      <c r="C477" s="2">
        <v>31</v>
      </c>
      <c r="D477" s="5">
        <v>46051.955555555556</v>
      </c>
      <c r="E477" s="2">
        <v>49</v>
      </c>
      <c r="F477" s="3" t="s">
        <v>69</v>
      </c>
      <c r="G477" s="3" t="s">
        <v>79</v>
      </c>
      <c r="H477" s="2">
        <v>34</v>
      </c>
      <c r="I477" s="6"/>
    </row>
    <row r="478">
      <c r="A478" s="3" t="s">
        <v>545</v>
      </c>
      <c r="B478" s="2">
        <v>144</v>
      </c>
      <c r="C478" s="2">
        <v>35</v>
      </c>
      <c r="D478" s="5">
        <v>46024.113194444442</v>
      </c>
      <c r="E478" s="2">
        <v>1499</v>
      </c>
      <c r="F478" s="3" t="s">
        <v>66</v>
      </c>
      <c r="G478" s="3" t="s">
        <v>64</v>
      </c>
      <c r="H478" s="2">
        <v>72</v>
      </c>
      <c r="I478" s="6"/>
    </row>
    <row r="479">
      <c r="A479" s="3" t="s">
        <v>546</v>
      </c>
      <c r="B479" s="2">
        <v>162</v>
      </c>
      <c r="C479" s="2">
        <v>2</v>
      </c>
      <c r="D479" s="5">
        <v>46044.049305555556</v>
      </c>
      <c r="E479" s="2">
        <v>299</v>
      </c>
      <c r="F479" s="3" t="s">
        <v>63</v>
      </c>
      <c r="G479" s="3" t="s">
        <v>64</v>
      </c>
      <c r="H479" s="2">
        <v>26</v>
      </c>
      <c r="I479" s="6"/>
    </row>
    <row r="480">
      <c r="A480" s="3" t="s">
        <v>547</v>
      </c>
      <c r="B480" s="2">
        <v>204</v>
      </c>
      <c r="C480" s="2">
        <v>5</v>
      </c>
      <c r="D480" s="5">
        <v>46041.199999999997</v>
      </c>
      <c r="E480" s="2">
        <v>49</v>
      </c>
      <c r="F480" s="3" t="s">
        <v>66</v>
      </c>
      <c r="G480" s="3" t="s">
        <v>64</v>
      </c>
      <c r="H480" s="2">
        <v>38</v>
      </c>
      <c r="I480" s="6"/>
    </row>
    <row r="481">
      <c r="A481" s="3" t="s">
        <v>548</v>
      </c>
      <c r="B481" s="2">
        <v>291</v>
      </c>
      <c r="C481" s="2">
        <v>25</v>
      </c>
      <c r="D481" s="5">
        <v>46028.760416666664</v>
      </c>
      <c r="E481" s="2">
        <v>99</v>
      </c>
      <c r="F481" s="3" t="s">
        <v>63</v>
      </c>
      <c r="G481" s="3" t="s">
        <v>64</v>
      </c>
      <c r="H481" s="2">
        <v>86</v>
      </c>
      <c r="I481" s="6"/>
    </row>
    <row r="482">
      <c r="A482" s="3" t="s">
        <v>549</v>
      </c>
      <c r="B482" s="2">
        <v>197</v>
      </c>
      <c r="C482" s="2">
        <v>9</v>
      </c>
      <c r="D482" s="5">
        <v>46051.722916666666</v>
      </c>
      <c r="E482" s="2">
        <v>49</v>
      </c>
      <c r="F482" s="3" t="s">
        <v>63</v>
      </c>
      <c r="G482" s="3" t="s">
        <v>79</v>
      </c>
      <c r="H482" s="2">
        <v>88</v>
      </c>
      <c r="I482" s="6"/>
    </row>
    <row r="483">
      <c r="A483" s="3" t="s">
        <v>550</v>
      </c>
      <c r="B483" s="2">
        <v>178</v>
      </c>
      <c r="C483" s="2">
        <v>4</v>
      </c>
      <c r="D483" s="5">
        <v>46046.105555555558</v>
      </c>
      <c r="E483" s="2">
        <v>1499</v>
      </c>
      <c r="F483" s="3" t="s">
        <v>66</v>
      </c>
      <c r="G483" s="3" t="s">
        <v>64</v>
      </c>
      <c r="H483" s="2">
        <v>12</v>
      </c>
      <c r="I483" s="6"/>
    </row>
    <row r="484">
      <c r="A484" s="3" t="s">
        <v>551</v>
      </c>
      <c r="B484" s="2">
        <v>39</v>
      </c>
      <c r="C484" s="2">
        <v>22</v>
      </c>
      <c r="D484" s="5">
        <v>46036.328472222223</v>
      </c>
      <c r="E484" s="2">
        <v>799</v>
      </c>
      <c r="F484" s="3" t="s">
        <v>69</v>
      </c>
      <c r="G484" s="3" t="s">
        <v>64</v>
      </c>
      <c r="H484" s="2">
        <v>77</v>
      </c>
      <c r="I484" s="6"/>
    </row>
    <row r="485">
      <c r="A485" s="3" t="s">
        <v>552</v>
      </c>
      <c r="B485" s="2">
        <v>204</v>
      </c>
      <c r="C485" s="2">
        <v>21</v>
      </c>
      <c r="D485" s="5">
        <v>46047.818055555559</v>
      </c>
      <c r="E485" s="2">
        <v>299</v>
      </c>
      <c r="F485" s="3" t="s">
        <v>63</v>
      </c>
      <c r="G485" s="3" t="s">
        <v>64</v>
      </c>
      <c r="H485" s="2">
        <v>3</v>
      </c>
      <c r="I485" s="6"/>
    </row>
    <row r="486">
      <c r="A486" s="3" t="s">
        <v>553</v>
      </c>
      <c r="B486" s="2">
        <v>231</v>
      </c>
      <c r="C486" s="2">
        <v>32</v>
      </c>
      <c r="D486" s="5">
        <v>46043.368055555555</v>
      </c>
      <c r="E486" s="2">
        <v>299</v>
      </c>
      <c r="F486" s="3" t="s">
        <v>66</v>
      </c>
      <c r="G486" s="3" t="s">
        <v>64</v>
      </c>
      <c r="H486" s="2">
        <v>29</v>
      </c>
      <c r="I486" s="6"/>
    </row>
    <row r="487">
      <c r="A487" s="3" t="s">
        <v>554</v>
      </c>
      <c r="B487" s="2">
        <v>222</v>
      </c>
      <c r="C487" s="2">
        <v>12</v>
      </c>
      <c r="D487" s="5">
        <v>46034.724999999999</v>
      </c>
      <c r="E487" s="2">
        <v>499</v>
      </c>
      <c r="F487" s="3" t="s">
        <v>63</v>
      </c>
      <c r="G487" s="3" t="s">
        <v>79</v>
      </c>
      <c r="H487" s="2">
        <v>87</v>
      </c>
      <c r="I487" s="6"/>
    </row>
    <row r="488">
      <c r="A488" s="3" t="s">
        <v>555</v>
      </c>
      <c r="B488" s="2">
        <v>44</v>
      </c>
      <c r="C488" s="2">
        <v>40</v>
      </c>
      <c r="D488" s="5">
        <v>46041.89166666667</v>
      </c>
      <c r="E488" s="2">
        <v>499</v>
      </c>
      <c r="F488" s="3" t="s">
        <v>66</v>
      </c>
      <c r="G488" s="3" t="s">
        <v>64</v>
      </c>
      <c r="H488" s="2">
        <v>37</v>
      </c>
      <c r="I488" s="6"/>
    </row>
    <row r="489">
      <c r="A489" s="3" t="s">
        <v>556</v>
      </c>
      <c r="B489" s="2">
        <v>38</v>
      </c>
      <c r="C489" s="2">
        <v>6</v>
      </c>
      <c r="D489" s="5">
        <v>46048.322916666664</v>
      </c>
      <c r="E489" s="2">
        <v>49</v>
      </c>
      <c r="F489" s="3" t="s">
        <v>63</v>
      </c>
      <c r="G489" s="3" t="s">
        <v>64</v>
      </c>
      <c r="H489" s="2">
        <v>34</v>
      </c>
      <c r="I489" s="6"/>
    </row>
    <row r="490">
      <c r="A490" s="3" t="s">
        <v>557</v>
      </c>
      <c r="B490" s="2">
        <v>325</v>
      </c>
      <c r="C490" s="2">
        <v>10</v>
      </c>
      <c r="D490" s="5">
        <v>46027.53125</v>
      </c>
      <c r="E490" s="2">
        <v>49</v>
      </c>
      <c r="F490" s="3" t="s">
        <v>69</v>
      </c>
      <c r="G490" s="3" t="s">
        <v>92</v>
      </c>
      <c r="H490" s="2">
        <v>94</v>
      </c>
      <c r="I490" s="6"/>
    </row>
    <row r="491">
      <c r="A491" s="3" t="s">
        <v>558</v>
      </c>
      <c r="B491" s="2">
        <v>55</v>
      </c>
      <c r="C491" s="2">
        <v>6</v>
      </c>
      <c r="D491" s="5">
        <v>46035.432638888888</v>
      </c>
      <c r="E491" s="2">
        <v>1499</v>
      </c>
      <c r="F491" s="3" t="s">
        <v>78</v>
      </c>
      <c r="G491" s="3" t="s">
        <v>64</v>
      </c>
      <c r="H491" s="2">
        <v>0</v>
      </c>
      <c r="I491" s="6"/>
    </row>
    <row r="492">
      <c r="A492" s="3" t="s">
        <v>559</v>
      </c>
      <c r="B492" s="2">
        <v>139</v>
      </c>
      <c r="C492" s="2">
        <v>7</v>
      </c>
      <c r="D492" s="5">
        <v>46032.599305555559</v>
      </c>
      <c r="E492" s="2">
        <v>499</v>
      </c>
      <c r="F492" s="3" t="s">
        <v>78</v>
      </c>
      <c r="G492" s="3" t="s">
        <v>64</v>
      </c>
      <c r="H492" s="2">
        <v>16</v>
      </c>
      <c r="I492" s="6"/>
    </row>
    <row r="493">
      <c r="A493" s="3" t="s">
        <v>560</v>
      </c>
      <c r="B493" s="2">
        <v>230</v>
      </c>
      <c r="C493" s="2">
        <v>36</v>
      </c>
      <c r="D493" s="5">
        <v>46025.227083333331</v>
      </c>
      <c r="E493" s="2">
        <v>99</v>
      </c>
      <c r="F493" s="3" t="s">
        <v>63</v>
      </c>
      <c r="G493" s="3" t="s">
        <v>64</v>
      </c>
      <c r="H493" s="2">
        <v>71</v>
      </c>
      <c r="I493" s="6"/>
    </row>
    <row r="494">
      <c r="A494" s="3" t="s">
        <v>561</v>
      </c>
      <c r="B494" s="2">
        <v>14</v>
      </c>
      <c r="C494" s="2">
        <v>6</v>
      </c>
      <c r="D494" s="5">
        <v>46039.54583333333</v>
      </c>
      <c r="E494" s="2">
        <v>799</v>
      </c>
      <c r="F494" s="3" t="s">
        <v>78</v>
      </c>
      <c r="G494" s="3" t="s">
        <v>64</v>
      </c>
      <c r="H494" s="2">
        <v>45</v>
      </c>
      <c r="I494" s="6"/>
    </row>
    <row r="495">
      <c r="A495" s="3" t="s">
        <v>562</v>
      </c>
      <c r="B495" s="2">
        <v>307</v>
      </c>
      <c r="C495" s="2">
        <v>21</v>
      </c>
      <c r="D495" s="5">
        <v>46040.109722222223</v>
      </c>
      <c r="E495" s="2">
        <v>799</v>
      </c>
      <c r="F495" s="3" t="s">
        <v>66</v>
      </c>
      <c r="G495" s="3" t="s">
        <v>64</v>
      </c>
      <c r="H495" s="2">
        <v>49</v>
      </c>
      <c r="I495" s="6"/>
    </row>
    <row r="496">
      <c r="A496" s="3" t="s">
        <v>563</v>
      </c>
      <c r="B496" s="2">
        <v>199</v>
      </c>
      <c r="C496" s="2">
        <v>6</v>
      </c>
      <c r="D496" s="5">
        <v>46023.393055555556</v>
      </c>
      <c r="E496" s="2">
        <v>49</v>
      </c>
      <c r="F496" s="3" t="s">
        <v>66</v>
      </c>
      <c r="G496" s="3" t="s">
        <v>64</v>
      </c>
      <c r="H496" s="2">
        <v>92</v>
      </c>
      <c r="I496" s="6"/>
    </row>
    <row r="497">
      <c r="A497" s="3" t="s">
        <v>564</v>
      </c>
      <c r="B497" s="2">
        <v>125</v>
      </c>
      <c r="C497" s="2">
        <v>37</v>
      </c>
      <c r="D497" s="5">
        <v>46051.747916666667</v>
      </c>
      <c r="E497" s="2">
        <v>149</v>
      </c>
      <c r="F497" s="3" t="s">
        <v>63</v>
      </c>
      <c r="G497" s="3" t="s">
        <v>64</v>
      </c>
      <c r="H497" s="2">
        <v>66</v>
      </c>
      <c r="I497" s="6"/>
    </row>
    <row r="498">
      <c r="A498" s="3" t="s">
        <v>565</v>
      </c>
      <c r="B498" s="2">
        <v>87</v>
      </c>
      <c r="C498" s="2">
        <v>9</v>
      </c>
      <c r="D498" s="5">
        <v>46028.89166666667</v>
      </c>
      <c r="E498" s="2">
        <v>149</v>
      </c>
      <c r="F498" s="3" t="s">
        <v>66</v>
      </c>
      <c r="G498" s="3" t="s">
        <v>64</v>
      </c>
      <c r="H498" s="2">
        <v>34</v>
      </c>
      <c r="I498" s="6"/>
    </row>
    <row r="499">
      <c r="A499" s="3" t="s">
        <v>566</v>
      </c>
      <c r="B499" s="2">
        <v>75</v>
      </c>
      <c r="C499" s="2">
        <v>5</v>
      </c>
      <c r="D499" s="5">
        <v>46032.354861111111</v>
      </c>
      <c r="E499" s="2">
        <v>99</v>
      </c>
      <c r="F499" s="3" t="s">
        <v>66</v>
      </c>
      <c r="G499" s="3" t="s">
        <v>64</v>
      </c>
      <c r="H499" s="2">
        <v>21</v>
      </c>
      <c r="I499" s="6"/>
    </row>
    <row r="500">
      <c r="A500" s="3" t="s">
        <v>567</v>
      </c>
      <c r="B500" s="2">
        <v>154</v>
      </c>
      <c r="C500" s="2">
        <v>31</v>
      </c>
      <c r="D500" s="5">
        <v>46036.351388888892</v>
      </c>
      <c r="E500" s="2">
        <v>499</v>
      </c>
      <c r="F500" s="3" t="s">
        <v>63</v>
      </c>
      <c r="G500" s="3" t="s">
        <v>64</v>
      </c>
      <c r="H500" s="2">
        <v>100</v>
      </c>
      <c r="I500" s="6"/>
    </row>
    <row r="501">
      <c r="A501" s="3" t="s">
        <v>568</v>
      </c>
      <c r="B501" s="2">
        <v>127</v>
      </c>
      <c r="C501" s="2">
        <v>32</v>
      </c>
      <c r="D501" s="5">
        <v>46025.469444444447</v>
      </c>
      <c r="E501" s="2">
        <v>149</v>
      </c>
      <c r="F501" s="3" t="s">
        <v>78</v>
      </c>
      <c r="G501" s="3" t="s">
        <v>64</v>
      </c>
      <c r="H501" s="2">
        <v>76</v>
      </c>
      <c r="I501" s="6"/>
    </row>
    <row r="502">
      <c r="A502" s="3" t="s">
        <v>569</v>
      </c>
      <c r="B502" s="2">
        <v>351</v>
      </c>
      <c r="C502" s="2">
        <v>7</v>
      </c>
      <c r="D502" s="5">
        <v>46052.25</v>
      </c>
      <c r="E502" s="2">
        <v>1999</v>
      </c>
      <c r="F502" s="3" t="s">
        <v>78</v>
      </c>
      <c r="G502" s="3" t="s">
        <v>92</v>
      </c>
      <c r="H502" s="2">
        <v>79</v>
      </c>
      <c r="I502" s="6"/>
    </row>
    <row r="503">
      <c r="A503" s="3" t="s">
        <v>570</v>
      </c>
      <c r="B503" s="2">
        <v>352</v>
      </c>
      <c r="C503" s="2">
        <v>40</v>
      </c>
      <c r="D503" s="5">
        <v>46033.5</v>
      </c>
      <c r="E503" s="2">
        <v>4999</v>
      </c>
      <c r="F503" s="3" t="s">
        <v>78</v>
      </c>
      <c r="G503" s="3" t="s">
        <v>92</v>
      </c>
      <c r="H503" s="2">
        <v>95</v>
      </c>
      <c r="I503" s="6"/>
    </row>
    <row r="504">
      <c r="A504" s="3" t="s">
        <v>571</v>
      </c>
      <c r="B504" s="2">
        <v>353</v>
      </c>
      <c r="C504" s="2">
        <v>28</v>
      </c>
      <c r="D504" s="5">
        <v>46043.583333333336</v>
      </c>
      <c r="E504" s="2">
        <v>1999</v>
      </c>
      <c r="F504" s="3" t="s">
        <v>78</v>
      </c>
      <c r="G504" s="3" t="s">
        <v>92</v>
      </c>
      <c r="H504" s="2">
        <v>79</v>
      </c>
      <c r="I504" s="6"/>
    </row>
    <row r="505">
      <c r="A505" s="3" t="s">
        <v>572</v>
      </c>
      <c r="B505" s="2">
        <v>354</v>
      </c>
      <c r="C505" s="2">
        <v>13</v>
      </c>
      <c r="D505" s="5">
        <v>46043.791666666664</v>
      </c>
      <c r="E505" s="2">
        <v>4999</v>
      </c>
      <c r="F505" s="3" t="s">
        <v>78</v>
      </c>
      <c r="G505" s="3" t="s">
        <v>92</v>
      </c>
      <c r="H505" s="2">
        <v>80</v>
      </c>
      <c r="I505" s="6"/>
    </row>
    <row r="506">
      <c r="A506" s="3" t="s">
        <v>573</v>
      </c>
      <c r="B506" s="2">
        <v>355</v>
      </c>
      <c r="C506" s="2">
        <v>19</v>
      </c>
      <c r="D506" s="5">
        <v>46038.5</v>
      </c>
      <c r="E506" s="2">
        <v>4999</v>
      </c>
      <c r="F506" s="3" t="s">
        <v>78</v>
      </c>
      <c r="G506" s="3" t="s">
        <v>92</v>
      </c>
      <c r="H506" s="2">
        <v>100</v>
      </c>
      <c r="I506" s="6"/>
    </row>
    <row r="507">
      <c r="A507" s="3" t="s">
        <v>574</v>
      </c>
      <c r="B507" s="2">
        <v>356</v>
      </c>
      <c r="C507" s="2">
        <v>25</v>
      </c>
      <c r="D507" s="5">
        <v>46051.291666666664</v>
      </c>
      <c r="E507" s="2">
        <v>2999</v>
      </c>
      <c r="F507" s="3" t="s">
        <v>78</v>
      </c>
      <c r="G507" s="3" t="s">
        <v>92</v>
      </c>
      <c r="H507" s="2">
        <v>96</v>
      </c>
      <c r="I507" s="6"/>
    </row>
    <row r="508">
      <c r="A508" s="3" t="s">
        <v>575</v>
      </c>
      <c r="B508" s="2">
        <v>357</v>
      </c>
      <c r="C508" s="2">
        <v>37</v>
      </c>
      <c r="D508" s="5">
        <v>46045.458333333336</v>
      </c>
      <c r="E508" s="2">
        <v>1999</v>
      </c>
      <c r="F508" s="3" t="s">
        <v>78</v>
      </c>
      <c r="G508" s="3" t="s">
        <v>92</v>
      </c>
      <c r="H508" s="2">
        <v>88</v>
      </c>
      <c r="I508" s="6"/>
    </row>
    <row r="509">
      <c r="A509" s="3" t="s">
        <v>576</v>
      </c>
      <c r="B509" s="2">
        <v>358</v>
      </c>
      <c r="C509" s="2">
        <v>36</v>
      </c>
      <c r="D509" s="5">
        <v>46050.208333333336</v>
      </c>
      <c r="E509" s="2">
        <v>999</v>
      </c>
      <c r="F509" s="3" t="s">
        <v>78</v>
      </c>
      <c r="G509" s="3" t="s">
        <v>92</v>
      </c>
      <c r="H509" s="2">
        <v>100</v>
      </c>
      <c r="I509" s="6"/>
    </row>
    <row r="510">
      <c r="A510" s="3" t="s">
        <v>577</v>
      </c>
      <c r="B510" s="2">
        <v>359</v>
      </c>
      <c r="C510" s="2">
        <v>29</v>
      </c>
      <c r="D510" s="5">
        <v>46047.916666666664</v>
      </c>
      <c r="E510" s="2">
        <v>2999</v>
      </c>
      <c r="F510" s="3" t="s">
        <v>78</v>
      </c>
      <c r="G510" s="3" t="s">
        <v>92</v>
      </c>
      <c r="H510" s="2">
        <v>96</v>
      </c>
      <c r="I510" s="6"/>
    </row>
    <row r="511">
      <c r="A511" s="3" t="s">
        <v>578</v>
      </c>
      <c r="B511" s="2">
        <v>360</v>
      </c>
      <c r="C511" s="2">
        <v>32</v>
      </c>
      <c r="D511" s="5">
        <v>46035.541666666664</v>
      </c>
      <c r="E511" s="2">
        <v>1999</v>
      </c>
      <c r="F511" s="3" t="s">
        <v>78</v>
      </c>
      <c r="G511" s="3" t="s">
        <v>92</v>
      </c>
      <c r="H511" s="2">
        <v>90</v>
      </c>
      <c r="I511" s="6"/>
    </row>
    <row r="512">
      <c r="A512" s="3" t="s">
        <v>579</v>
      </c>
      <c r="B512" s="2">
        <v>361</v>
      </c>
      <c r="C512" s="2">
        <v>10</v>
      </c>
      <c r="D512" s="5">
        <v>46042.291666666664</v>
      </c>
      <c r="E512" s="2">
        <v>4999</v>
      </c>
      <c r="F512" s="3" t="s">
        <v>78</v>
      </c>
      <c r="G512" s="3" t="s">
        <v>92</v>
      </c>
      <c r="H512" s="2">
        <v>95</v>
      </c>
      <c r="I512" s="6"/>
    </row>
    <row r="513">
      <c r="A513" s="3" t="s">
        <v>580</v>
      </c>
      <c r="B513" s="2">
        <v>362</v>
      </c>
      <c r="C513" s="2">
        <v>39</v>
      </c>
      <c r="D513" s="5">
        <v>46045.083333333336</v>
      </c>
      <c r="E513" s="2">
        <v>4999</v>
      </c>
      <c r="F513" s="3" t="s">
        <v>78</v>
      </c>
      <c r="G513" s="3" t="s">
        <v>92</v>
      </c>
      <c r="H513" s="2">
        <v>88</v>
      </c>
      <c r="I513" s="6"/>
    </row>
    <row r="514">
      <c r="A514" s="3" t="s">
        <v>581</v>
      </c>
      <c r="B514" s="2">
        <v>363</v>
      </c>
      <c r="C514" s="2">
        <v>27</v>
      </c>
      <c r="D514" s="5">
        <v>46045.708333333336</v>
      </c>
      <c r="E514" s="2">
        <v>999</v>
      </c>
      <c r="F514" s="3" t="s">
        <v>78</v>
      </c>
      <c r="G514" s="3" t="s">
        <v>92</v>
      </c>
      <c r="H514" s="2">
        <v>95</v>
      </c>
      <c r="I514" s="6"/>
    </row>
    <row r="515">
      <c r="A515" s="3" t="s">
        <v>582</v>
      </c>
      <c r="B515" s="2">
        <v>364</v>
      </c>
      <c r="C515" s="2">
        <v>39</v>
      </c>
      <c r="D515" s="5">
        <v>46044.916666666664</v>
      </c>
      <c r="E515" s="2">
        <v>999</v>
      </c>
      <c r="F515" s="3" t="s">
        <v>78</v>
      </c>
      <c r="G515" s="3" t="s">
        <v>92</v>
      </c>
      <c r="H515" s="2">
        <v>73</v>
      </c>
      <c r="I515" s="6"/>
    </row>
    <row r="516">
      <c r="A516" s="3" t="s">
        <v>583</v>
      </c>
      <c r="B516" s="2">
        <v>365</v>
      </c>
      <c r="C516" s="2">
        <v>23</v>
      </c>
      <c r="D516" s="5">
        <v>46040.875</v>
      </c>
      <c r="E516" s="2">
        <v>1999</v>
      </c>
      <c r="F516" s="3" t="s">
        <v>78</v>
      </c>
      <c r="G516" s="3" t="s">
        <v>92</v>
      </c>
      <c r="H516" s="2">
        <v>90</v>
      </c>
      <c r="I516" s="6"/>
    </row>
    <row r="517">
      <c r="A517" s="3" t="s">
        <v>584</v>
      </c>
      <c r="B517" s="2">
        <v>314</v>
      </c>
      <c r="C517" s="2">
        <v>26</v>
      </c>
      <c r="D517" s="5">
        <v>46024.75</v>
      </c>
      <c r="E517" s="2">
        <v>399</v>
      </c>
      <c r="F517" s="3" t="s">
        <v>78</v>
      </c>
      <c r="G517" s="3" t="s">
        <v>79</v>
      </c>
      <c r="H517" s="2">
        <v>87</v>
      </c>
      <c r="I517" s="6"/>
    </row>
    <row r="518">
      <c r="A518" s="3" t="s">
        <v>585</v>
      </c>
      <c r="B518" s="2">
        <v>314</v>
      </c>
      <c r="C518" s="2">
        <v>7</v>
      </c>
      <c r="D518" s="5">
        <v>46024.750694444447</v>
      </c>
      <c r="E518" s="2">
        <v>299</v>
      </c>
      <c r="F518" s="3" t="s">
        <v>78</v>
      </c>
      <c r="G518" s="3" t="s">
        <v>79</v>
      </c>
      <c r="H518" s="2">
        <v>66</v>
      </c>
      <c r="I518" s="6"/>
    </row>
    <row r="519">
      <c r="A519" s="3" t="s">
        <v>586</v>
      </c>
      <c r="B519" s="2">
        <v>314</v>
      </c>
      <c r="C519" s="2">
        <v>17</v>
      </c>
      <c r="D519" s="5">
        <v>46024.751388888886</v>
      </c>
      <c r="E519" s="2">
        <v>299</v>
      </c>
      <c r="F519" s="3" t="s">
        <v>78</v>
      </c>
      <c r="G519" s="3" t="s">
        <v>79</v>
      </c>
      <c r="H519" s="2">
        <v>92</v>
      </c>
      <c r="I519" s="6"/>
    </row>
    <row r="520">
      <c r="A520" s="3" t="s">
        <v>587</v>
      </c>
      <c r="B520" s="2">
        <v>314</v>
      </c>
      <c r="C520" s="2">
        <v>34</v>
      </c>
      <c r="D520" s="5">
        <v>46024.752083333333</v>
      </c>
      <c r="E520" s="2">
        <v>499</v>
      </c>
      <c r="F520" s="3" t="s">
        <v>78</v>
      </c>
      <c r="G520" s="3" t="s">
        <v>64</v>
      </c>
      <c r="H520" s="2">
        <v>74</v>
      </c>
      <c r="I520" s="6"/>
    </row>
    <row r="521">
      <c r="A521" s="3" t="s">
        <v>588</v>
      </c>
      <c r="B521" s="2">
        <v>229</v>
      </c>
      <c r="C521" s="2">
        <v>30</v>
      </c>
      <c r="D521" s="5">
        <v>46034.5</v>
      </c>
      <c r="E521" s="2">
        <v>499</v>
      </c>
      <c r="F521" s="3" t="s">
        <v>78</v>
      </c>
      <c r="G521" s="3" t="s">
        <v>79</v>
      </c>
      <c r="H521" s="2">
        <v>92</v>
      </c>
      <c r="I521" s="6"/>
    </row>
    <row r="522">
      <c r="A522" s="3" t="s">
        <v>589</v>
      </c>
      <c r="B522" s="2">
        <v>229</v>
      </c>
      <c r="C522" s="2">
        <v>10</v>
      </c>
      <c r="D522" s="5">
        <v>46034.500694444447</v>
      </c>
      <c r="E522" s="2">
        <v>399</v>
      </c>
      <c r="F522" s="3" t="s">
        <v>78</v>
      </c>
      <c r="G522" s="3" t="s">
        <v>79</v>
      </c>
      <c r="H522" s="2">
        <v>61</v>
      </c>
      <c r="I522" s="6"/>
    </row>
    <row r="523">
      <c r="A523" s="3" t="s">
        <v>590</v>
      </c>
      <c r="B523" s="2">
        <v>229</v>
      </c>
      <c r="C523" s="2">
        <v>31</v>
      </c>
      <c r="D523" s="5">
        <v>46034.501388888886</v>
      </c>
      <c r="E523" s="2">
        <v>299</v>
      </c>
      <c r="F523" s="3" t="s">
        <v>78</v>
      </c>
      <c r="G523" s="3" t="s">
        <v>79</v>
      </c>
      <c r="H523" s="2">
        <v>78</v>
      </c>
      <c r="I523" s="6"/>
    </row>
    <row r="524">
      <c r="A524" s="3" t="s">
        <v>591</v>
      </c>
      <c r="B524" s="2">
        <v>229</v>
      </c>
      <c r="C524" s="2">
        <v>27</v>
      </c>
      <c r="D524" s="5">
        <v>46034.502083333333</v>
      </c>
      <c r="E524" s="2">
        <v>299</v>
      </c>
      <c r="F524" s="3" t="s">
        <v>78</v>
      </c>
      <c r="G524" s="3" t="s">
        <v>64</v>
      </c>
      <c r="H524" s="2">
        <v>67</v>
      </c>
      <c r="I524" s="6"/>
    </row>
    <row r="525">
      <c r="A525" s="3" t="s">
        <v>592</v>
      </c>
      <c r="B525" s="2">
        <v>73</v>
      </c>
      <c r="C525" s="2">
        <v>22</v>
      </c>
      <c r="D525" s="5">
        <v>46034.375</v>
      </c>
      <c r="E525" s="2">
        <v>399</v>
      </c>
      <c r="F525" s="3" t="s">
        <v>78</v>
      </c>
      <c r="G525" s="3" t="s">
        <v>79</v>
      </c>
      <c r="H525" s="2">
        <v>73</v>
      </c>
      <c r="I525" s="6"/>
    </row>
    <row r="526">
      <c r="A526" s="3" t="s">
        <v>593</v>
      </c>
      <c r="B526" s="2">
        <v>73</v>
      </c>
      <c r="C526" s="2">
        <v>34</v>
      </c>
      <c r="D526" s="5">
        <v>46034.375694444447</v>
      </c>
      <c r="E526" s="2">
        <v>399</v>
      </c>
      <c r="F526" s="3" t="s">
        <v>78</v>
      </c>
      <c r="G526" s="3" t="s">
        <v>79</v>
      </c>
      <c r="H526" s="2">
        <v>82</v>
      </c>
      <c r="I526" s="6"/>
    </row>
    <row r="527">
      <c r="A527" s="3" t="s">
        <v>594</v>
      </c>
      <c r="B527" s="2">
        <v>73</v>
      </c>
      <c r="C527" s="2">
        <v>31</v>
      </c>
      <c r="D527" s="5">
        <v>46034.376388888886</v>
      </c>
      <c r="E527" s="2">
        <v>299</v>
      </c>
      <c r="F527" s="3" t="s">
        <v>78</v>
      </c>
      <c r="G527" s="3" t="s">
        <v>79</v>
      </c>
      <c r="H527" s="2">
        <v>88</v>
      </c>
      <c r="I527" s="6"/>
    </row>
    <row r="528">
      <c r="A528" s="3" t="s">
        <v>595</v>
      </c>
      <c r="B528" s="2">
        <v>73</v>
      </c>
      <c r="C528" s="2">
        <v>29</v>
      </c>
      <c r="D528" s="5">
        <v>46034.377083333333</v>
      </c>
      <c r="E528" s="2">
        <v>399</v>
      </c>
      <c r="F528" s="3" t="s">
        <v>78</v>
      </c>
      <c r="G528" s="3" t="s">
        <v>64</v>
      </c>
      <c r="H528" s="2">
        <v>64</v>
      </c>
      <c r="I528" s="6"/>
    </row>
    <row r="529">
      <c r="A529" s="3" t="s">
        <v>596</v>
      </c>
      <c r="B529" s="2">
        <v>154</v>
      </c>
      <c r="C529" s="2">
        <v>8</v>
      </c>
      <c r="D529" s="5">
        <v>46024.916666666664</v>
      </c>
      <c r="E529" s="2">
        <v>299</v>
      </c>
      <c r="F529" s="3" t="s">
        <v>78</v>
      </c>
      <c r="G529" s="3" t="s">
        <v>79</v>
      </c>
      <c r="H529" s="2">
        <v>81</v>
      </c>
      <c r="I529" s="6"/>
    </row>
    <row r="530">
      <c r="A530" s="3" t="s">
        <v>597</v>
      </c>
      <c r="B530" s="2">
        <v>154</v>
      </c>
      <c r="C530" s="2">
        <v>7</v>
      </c>
      <c r="D530" s="5">
        <v>46024.917361111111</v>
      </c>
      <c r="E530" s="2">
        <v>499</v>
      </c>
      <c r="F530" s="3" t="s">
        <v>78</v>
      </c>
      <c r="G530" s="3" t="s">
        <v>79</v>
      </c>
      <c r="H530" s="2">
        <v>70</v>
      </c>
      <c r="I530" s="6"/>
    </row>
    <row r="531">
      <c r="A531" s="3" t="s">
        <v>598</v>
      </c>
      <c r="B531" s="2">
        <v>154</v>
      </c>
      <c r="C531" s="2">
        <v>16</v>
      </c>
      <c r="D531" s="5">
        <v>46024.918055555558</v>
      </c>
      <c r="E531" s="2">
        <v>499</v>
      </c>
      <c r="F531" s="3" t="s">
        <v>78</v>
      </c>
      <c r="G531" s="3" t="s">
        <v>79</v>
      </c>
      <c r="H531" s="2">
        <v>71</v>
      </c>
      <c r="I531" s="6"/>
    </row>
    <row r="532">
      <c r="A532" s="3" t="s">
        <v>599</v>
      </c>
      <c r="B532" s="2">
        <v>154</v>
      </c>
      <c r="C532" s="2">
        <v>36</v>
      </c>
      <c r="D532" s="5">
        <v>46024.918749999997</v>
      </c>
      <c r="E532" s="2">
        <v>299</v>
      </c>
      <c r="F532" s="3" t="s">
        <v>78</v>
      </c>
      <c r="G532" s="3" t="s">
        <v>64</v>
      </c>
      <c r="H532" s="2">
        <v>81</v>
      </c>
      <c r="I532" s="6"/>
    </row>
    <row r="533">
      <c r="A533" s="3" t="s">
        <v>600</v>
      </c>
      <c r="B533" s="2">
        <v>287</v>
      </c>
      <c r="C533" s="2">
        <v>15</v>
      </c>
      <c r="D533" s="5">
        <v>46036.583333333336</v>
      </c>
      <c r="E533" s="2">
        <v>399</v>
      </c>
      <c r="F533" s="3" t="s">
        <v>78</v>
      </c>
      <c r="G533" s="3" t="s">
        <v>79</v>
      </c>
      <c r="H533" s="2">
        <v>71</v>
      </c>
      <c r="I533" s="6"/>
    </row>
    <row r="534">
      <c r="A534" s="3" t="s">
        <v>601</v>
      </c>
      <c r="B534" s="2">
        <v>287</v>
      </c>
      <c r="C534" s="2">
        <v>12</v>
      </c>
      <c r="D534" s="5">
        <v>46036.584027777775</v>
      </c>
      <c r="E534" s="2">
        <v>499</v>
      </c>
      <c r="F534" s="3" t="s">
        <v>78</v>
      </c>
      <c r="G534" s="3" t="s">
        <v>79</v>
      </c>
      <c r="H534" s="2">
        <v>87</v>
      </c>
      <c r="I534" s="6"/>
    </row>
    <row r="535">
      <c r="A535" s="3" t="s">
        <v>602</v>
      </c>
      <c r="B535" s="2">
        <v>287</v>
      </c>
      <c r="C535" s="2">
        <v>26</v>
      </c>
      <c r="D535" s="5">
        <v>46036.584722222222</v>
      </c>
      <c r="E535" s="2">
        <v>299</v>
      </c>
      <c r="F535" s="3" t="s">
        <v>78</v>
      </c>
      <c r="G535" s="3" t="s">
        <v>79</v>
      </c>
      <c r="H535" s="2">
        <v>72</v>
      </c>
      <c r="I535" s="6"/>
    </row>
    <row r="536">
      <c r="A536" s="3" t="s">
        <v>603</v>
      </c>
      <c r="B536" s="2">
        <v>287</v>
      </c>
      <c r="C536" s="2">
        <v>29</v>
      </c>
      <c r="D536" s="5">
        <v>46036.585416666669</v>
      </c>
      <c r="E536" s="2">
        <v>499</v>
      </c>
      <c r="F536" s="3" t="s">
        <v>78</v>
      </c>
      <c r="G536" s="3" t="s">
        <v>64</v>
      </c>
      <c r="H536" s="2">
        <v>87</v>
      </c>
      <c r="I536" s="6"/>
    </row>
    <row r="537">
      <c r="A537" s="3" t="s">
        <v>604</v>
      </c>
      <c r="B537" s="2">
        <v>200</v>
      </c>
      <c r="C537" s="2">
        <v>14</v>
      </c>
      <c r="D537" s="5">
        <v>46023.916666666664</v>
      </c>
      <c r="E537" s="2">
        <v>299</v>
      </c>
      <c r="F537" s="3" t="s">
        <v>78</v>
      </c>
      <c r="G537" s="3" t="s">
        <v>79</v>
      </c>
      <c r="H537" s="2">
        <v>77</v>
      </c>
      <c r="I537" s="6"/>
    </row>
    <row r="538">
      <c r="A538" s="3" t="s">
        <v>605</v>
      </c>
      <c r="B538" s="2">
        <v>200</v>
      </c>
      <c r="C538" s="2">
        <v>5</v>
      </c>
      <c r="D538" s="5">
        <v>46023.917361111111</v>
      </c>
      <c r="E538" s="2">
        <v>499</v>
      </c>
      <c r="F538" s="3" t="s">
        <v>78</v>
      </c>
      <c r="G538" s="3" t="s">
        <v>79</v>
      </c>
      <c r="H538" s="2">
        <v>66</v>
      </c>
      <c r="I538" s="6"/>
    </row>
    <row r="539">
      <c r="A539" s="3" t="s">
        <v>606</v>
      </c>
      <c r="B539" s="2">
        <v>200</v>
      </c>
      <c r="C539" s="2">
        <v>35</v>
      </c>
      <c r="D539" s="5">
        <v>46023.918055555558</v>
      </c>
      <c r="E539" s="2">
        <v>299</v>
      </c>
      <c r="F539" s="3" t="s">
        <v>78</v>
      </c>
      <c r="G539" s="3" t="s">
        <v>79</v>
      </c>
      <c r="H539" s="2">
        <v>83</v>
      </c>
      <c r="I539" s="6"/>
    </row>
    <row r="540">
      <c r="A540" s="3" t="s">
        <v>607</v>
      </c>
      <c r="B540" s="2">
        <v>200</v>
      </c>
      <c r="C540" s="2">
        <v>21</v>
      </c>
      <c r="D540" s="5">
        <v>46023.918749999997</v>
      </c>
      <c r="E540" s="2">
        <v>299</v>
      </c>
      <c r="F540" s="3" t="s">
        <v>78</v>
      </c>
      <c r="G540" s="3" t="s">
        <v>64</v>
      </c>
      <c r="H540" s="2">
        <v>89</v>
      </c>
      <c r="I540" s="6"/>
    </row>
    <row r="541">
      <c r="A541" s="3" t="s">
        <v>608</v>
      </c>
      <c r="B541" s="2">
        <v>59</v>
      </c>
      <c r="C541" s="2">
        <v>32</v>
      </c>
      <c r="D541" s="5">
        <v>46031.875</v>
      </c>
      <c r="E541" s="2">
        <v>499</v>
      </c>
      <c r="F541" s="3" t="s">
        <v>78</v>
      </c>
      <c r="G541" s="3" t="s">
        <v>79</v>
      </c>
      <c r="H541" s="2">
        <v>80</v>
      </c>
      <c r="I541" s="6"/>
    </row>
    <row r="542">
      <c r="A542" s="3" t="s">
        <v>609</v>
      </c>
      <c r="B542" s="2">
        <v>59</v>
      </c>
      <c r="C542" s="2">
        <v>39</v>
      </c>
      <c r="D542" s="5">
        <v>46031.875694444447</v>
      </c>
      <c r="E542" s="2">
        <v>399</v>
      </c>
      <c r="F542" s="3" t="s">
        <v>78</v>
      </c>
      <c r="G542" s="3" t="s">
        <v>79</v>
      </c>
      <c r="H542" s="2">
        <v>85</v>
      </c>
      <c r="I542" s="6"/>
    </row>
    <row r="543">
      <c r="A543" s="3" t="s">
        <v>610</v>
      </c>
      <c r="B543" s="2">
        <v>59</v>
      </c>
      <c r="C543" s="2">
        <v>38</v>
      </c>
      <c r="D543" s="5">
        <v>46031.876388888886</v>
      </c>
      <c r="E543" s="2">
        <v>299</v>
      </c>
      <c r="F543" s="3" t="s">
        <v>78</v>
      </c>
      <c r="G543" s="3" t="s">
        <v>79</v>
      </c>
      <c r="H543" s="2">
        <v>82</v>
      </c>
      <c r="I543" s="6"/>
    </row>
    <row r="544">
      <c r="A544" s="3" t="s">
        <v>611</v>
      </c>
      <c r="B544" s="2">
        <v>59</v>
      </c>
      <c r="C544" s="2">
        <v>23</v>
      </c>
      <c r="D544" s="5">
        <v>46031.877083333333</v>
      </c>
      <c r="E544" s="2">
        <v>399</v>
      </c>
      <c r="F544" s="3" t="s">
        <v>78</v>
      </c>
      <c r="G544" s="3" t="s">
        <v>64</v>
      </c>
      <c r="H544" s="2">
        <v>71</v>
      </c>
      <c r="I544" s="6"/>
    </row>
    <row r="545">
      <c r="A545" s="3" t="s">
        <v>612</v>
      </c>
      <c r="B545" s="2">
        <v>345</v>
      </c>
      <c r="C545" s="2">
        <v>40</v>
      </c>
      <c r="D545" s="5">
        <v>46045.375</v>
      </c>
      <c r="E545" s="2">
        <v>499</v>
      </c>
      <c r="F545" s="3" t="s">
        <v>78</v>
      </c>
      <c r="G545" s="3" t="s">
        <v>79</v>
      </c>
      <c r="H545" s="2">
        <v>65</v>
      </c>
      <c r="I545" s="6"/>
    </row>
    <row r="546">
      <c r="A546" s="3" t="s">
        <v>613</v>
      </c>
      <c r="B546" s="2">
        <v>345</v>
      </c>
      <c r="C546" s="2">
        <v>9</v>
      </c>
      <c r="D546" s="5">
        <v>46045.375694444447</v>
      </c>
      <c r="E546" s="2">
        <v>399</v>
      </c>
      <c r="F546" s="3" t="s">
        <v>78</v>
      </c>
      <c r="G546" s="3" t="s">
        <v>79</v>
      </c>
      <c r="H546" s="2">
        <v>67</v>
      </c>
      <c r="I546" s="6"/>
    </row>
    <row r="547">
      <c r="A547" s="3" t="s">
        <v>614</v>
      </c>
      <c r="B547" s="2">
        <v>345</v>
      </c>
      <c r="C547" s="2">
        <v>16</v>
      </c>
      <c r="D547" s="5">
        <v>46045.376388888886</v>
      </c>
      <c r="E547" s="2">
        <v>399</v>
      </c>
      <c r="F547" s="3" t="s">
        <v>78</v>
      </c>
      <c r="G547" s="3" t="s">
        <v>79</v>
      </c>
      <c r="H547" s="2">
        <v>67</v>
      </c>
      <c r="I547" s="6"/>
    </row>
    <row r="548">
      <c r="A548" s="3" t="s">
        <v>615</v>
      </c>
      <c r="B548" s="2">
        <v>345</v>
      </c>
      <c r="C548" s="2">
        <v>12</v>
      </c>
      <c r="D548" s="5">
        <v>46045.377083333333</v>
      </c>
      <c r="E548" s="2">
        <v>399</v>
      </c>
      <c r="F548" s="3" t="s">
        <v>78</v>
      </c>
      <c r="G548" s="3" t="s">
        <v>64</v>
      </c>
      <c r="H548" s="2">
        <v>69</v>
      </c>
      <c r="I548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Q1" zoomScale="100" workbookViewId="0">
      <selection activeCell="E12" activeCellId="0" sqref="E12"/>
    </sheetView>
  </sheetViews>
  <sheetFormatPr defaultColWidth="12.6640625" defaultRowHeight="15.75" customHeight="1"/>
  <cols>
    <col bestFit="1" min="1" max="1" width="16.21875"/>
    <col bestFit="1" min="2" max="2" width="10"/>
    <col bestFit="1" min="3" max="3" width="14.5546875"/>
    <col bestFit="1" customWidth="1" min="4" max="4" width="18.5546875"/>
    <col bestFit="1" min="5" max="5" width="18.44140625"/>
    <col bestFit="1" min="6" max="6" width="13.5546875"/>
    <col bestFit="1" min="7" max="7" width="18.88671875"/>
    <col bestFit="1" min="8" max="8" width="10.5546875"/>
    <col bestFit="1" min="10" max="10" width="17.77734375"/>
    <col bestFit="1" min="11" max="11" width="12.44140625"/>
    <col bestFit="1" min="12" max="12" width="9"/>
    <col bestFit="1" min="13" max="13" width="11.33203125"/>
    <col bestFit="1" customWidth="1" min="14" max="14" width="29.33203125"/>
    <col bestFit="1" customWidth="1" min="16" max="16" width="20"/>
    <col bestFit="1" customWidth="1" min="17" max="17" width="12.6640625"/>
    <col bestFit="1" customWidth="1" min="18" max="18" width="18.21875"/>
    <col bestFit="1" customWidth="1" min="19" max="19" width="13"/>
    <col bestFit="1" customWidth="1" min="20" max="20" width="18.21875"/>
    <col bestFit="1" customWidth="1" min="21" max="21" width="12.6640625"/>
    <col bestFit="1" customWidth="1" min="22" max="22" width="18.21875"/>
    <col bestFit="1" customWidth="1" min="24" max="24" width="17.76171875"/>
    <col bestFit="1" customWidth="1" min="25" max="25" width="16.33203125"/>
    <col bestFit="1" customWidth="1" min="26" max="26" width="17.19140625"/>
    <col bestFit="1" customWidth="1" min="28" max="28" width="13.33203125"/>
    <col bestFit="1" customWidth="1" min="29" max="29" width="31.5546875"/>
    <col bestFit="1" customWidth="1" min="30" max="30" width="23.33203125"/>
  </cols>
  <sheetData>
    <row r="1">
      <c r="A1" s="1" t="s">
        <v>55</v>
      </c>
      <c r="B1" s="1" t="s">
        <v>56</v>
      </c>
      <c r="C1" s="1" t="s">
        <v>0</v>
      </c>
      <c r="D1" s="1" t="s">
        <v>57</v>
      </c>
      <c r="E1" s="4" t="s">
        <v>616</v>
      </c>
      <c r="F1" s="1" t="s">
        <v>58</v>
      </c>
      <c r="G1" s="1" t="s">
        <v>59</v>
      </c>
      <c r="H1" s="1" t="s">
        <v>60</v>
      </c>
      <c r="I1" s="1" t="s">
        <v>61</v>
      </c>
      <c r="J1" s="4" t="s">
        <v>1</v>
      </c>
      <c r="K1" s="1" t="s">
        <v>2</v>
      </c>
      <c r="L1" s="1" t="s">
        <v>3</v>
      </c>
      <c r="M1" s="4" t="s">
        <v>617</v>
      </c>
      <c r="N1" s="4" t="s">
        <v>618</v>
      </c>
      <c r="P1" s="4" t="s">
        <v>59</v>
      </c>
      <c r="Q1" s="7" t="s">
        <v>63</v>
      </c>
      <c r="R1" s="7" t="s">
        <v>66</v>
      </c>
      <c r="S1" s="7" t="s">
        <v>69</v>
      </c>
      <c r="T1" s="7" t="s">
        <v>78</v>
      </c>
    </row>
    <row r="2">
      <c r="A2" s="3" t="s">
        <v>62</v>
      </c>
      <c r="B2" s="2">
        <v>350</v>
      </c>
      <c r="C2" s="2">
        <v>16</v>
      </c>
      <c r="D2" s="8" t="s">
        <v>619</v>
      </c>
      <c r="E2" s="6" t="str">
        <f t="shared" ref="E2:E65" si="0">LEFT(D2,10)</f>
        <v>2026-01-29</v>
      </c>
      <c r="F2" s="2">
        <v>2999</v>
      </c>
      <c r="G2" s="3" t="s">
        <v>63</v>
      </c>
      <c r="H2" s="3" t="s">
        <v>64</v>
      </c>
      <c r="I2" s="2">
        <v>85</v>
      </c>
      <c r="J2" s="6" t="str">
        <f>_xlfn.IFNA(VLOOKUP(C2,merchants!$A$1:$D$41,2,0),"Merchant not found")</f>
        <v>Merchant_016</v>
      </c>
      <c r="K2" s="6" t="str">
        <f>_xlfn.IFNA(VLOOKUP(C2,merchants!$A$1:$D$41,3,0),"Merchant not found")</f>
        <v>bill_payment</v>
      </c>
      <c r="L2" s="6" t="str">
        <f>_xlfn.IFNA(VLOOKUP(C2,merchants!$A$1:$D$41,4,0),"Merchant not found")</f>
        <v>West</v>
      </c>
      <c r="M2" s="9">
        <f t="shared" ref="M2:M65" si="1">F2*(HLOOKUP(G2,$Q$1:$T$2,2,0))</f>
        <v>44.984999999999999</v>
      </c>
      <c r="N2" s="6" t="str">
        <f>IF(AND(L2&lt;&gt;"East",SUMIFS(merchant_workbook_pivot_table!$D$2:$D$444,merchant_workbook_pivot_table!$C$2:$C$444,E2,merchant_workbook_pivot_table!$B$2:$B$444,J2)&gt;5000),"High-Value Merchant Day",IF(AND(L2&lt;&gt;"East",SUMIFS(merchant_workbook_pivot_table!$D$2:$D$444,merchant_workbook_pivot_table!$C$2:$C$444,E2,merchant_workbook_pivot_table!$B$2:$B$444,J2)&gt;1000),"Mid-Value Merchant Day",""))</f>
        <v xml:space="preserve">Mid-Value Merchant Day</v>
      </c>
      <c r="O2" s="6"/>
      <c r="P2" s="4" t="s">
        <v>620</v>
      </c>
      <c r="Q2" s="10">
        <v>0.014999999999999999</v>
      </c>
      <c r="R2" s="7">
        <v>0</v>
      </c>
      <c r="S2" s="10">
        <v>0.01</v>
      </c>
      <c r="T2" s="10">
        <v>0.02</v>
      </c>
    </row>
    <row r="3">
      <c r="A3" s="3" t="s">
        <v>65</v>
      </c>
      <c r="B3" s="2">
        <v>287</v>
      </c>
      <c r="C3" s="2">
        <v>27</v>
      </c>
      <c r="D3" s="8" t="s">
        <v>621</v>
      </c>
      <c r="E3" s="6" t="str">
        <f t="shared" si="0"/>
        <v>2026-01-04</v>
      </c>
      <c r="F3" s="2">
        <v>49</v>
      </c>
      <c r="G3" s="3" t="s">
        <v>66</v>
      </c>
      <c r="H3" s="3" t="s">
        <v>64</v>
      </c>
      <c r="I3" s="2">
        <v>79</v>
      </c>
      <c r="J3" s="6" t="str">
        <f>_xlfn.IFNA(VLOOKUP(C3,merchants!$A$1:$D$41,2,0),"Merchant not found")</f>
        <v>Merchant_027</v>
      </c>
      <c r="K3" s="6" t="str">
        <f>_xlfn.IFNA(VLOOKUP(C3,merchants!$A$1:$D$41,3,0),"Merchant not found")</f>
        <v>ecommerce</v>
      </c>
      <c r="L3" s="6" t="str">
        <f>_xlfn.IFNA(VLOOKUP(C3,merchants!$A$1:$D$41,4,0),"Merchant not found")</f>
        <v>North</v>
      </c>
      <c r="M3" s="9">
        <f t="shared" si="1"/>
        <v>0</v>
      </c>
      <c r="N3" s="6" t="str">
        <f>IF(AND(L3&lt;&gt;"East",SUMIFS(merchant_workbook_pivot_table!$D$2:$D$444,merchant_workbook_pivot_table!$C$2:$C$444,E3,merchant_workbook_pivot_table!$B$2:$B$444,J3)&gt;5000),"High-Value Merchant Day",IF(AND(L3&lt;&gt;"East",SUMIFS(merchant_workbook_pivot_table!$D$2:$D$444,merchant_workbook_pivot_table!$C$2:$C$444,E3,merchant_workbook_pivot_table!$B$2:$B$444,J3)&gt;1000),"Mid-Value Merchant Day",""))</f>
        <v/>
      </c>
    </row>
    <row r="4">
      <c r="A4" s="3" t="s">
        <v>67</v>
      </c>
      <c r="B4" s="2">
        <v>122</v>
      </c>
      <c r="C4" s="2">
        <v>11</v>
      </c>
      <c r="D4" s="8" t="s">
        <v>622</v>
      </c>
      <c r="E4" s="6" t="str">
        <f t="shared" si="0"/>
        <v>2026-01-24</v>
      </c>
      <c r="F4" s="2">
        <v>1499</v>
      </c>
      <c r="G4" s="3" t="s">
        <v>63</v>
      </c>
      <c r="H4" s="3" t="s">
        <v>64</v>
      </c>
      <c r="I4" s="2">
        <v>22</v>
      </c>
      <c r="J4" s="6" t="str">
        <f>_xlfn.IFNA(VLOOKUP(C4,merchants!$A$1:$D$41,2,0),"Merchant not found")</f>
        <v>Merchant_011</v>
      </c>
      <c r="K4" s="6" t="str">
        <f>_xlfn.IFNA(VLOOKUP(C4,merchants!$A$1:$D$41,3,0),"Merchant not found")</f>
        <v>ecommerce</v>
      </c>
      <c r="L4" s="6" t="str">
        <f>_xlfn.IFNA(VLOOKUP(C4,merchants!$A$1:$D$41,4,0),"Merchant not found")</f>
        <v>North</v>
      </c>
      <c r="M4" s="9">
        <f t="shared" si="1"/>
        <v>22.484999999999999</v>
      </c>
      <c r="N4" s="6" t="str">
        <f>IF(AND(L4&lt;&gt;"East",SUMIFS(merchant_workbook_pivot_table!$D$2:$D$444,merchant_workbook_pivot_table!$C$2:$C$444,E4,merchant_workbook_pivot_table!$B$2:$B$444,J4)&gt;5000),"High-Value Merchant Day",IF(AND(L4&lt;&gt;"East",SUMIFS(merchant_workbook_pivot_table!$D$2:$D$444,merchant_workbook_pivot_table!$C$2:$C$444,E4,merchant_workbook_pivot_table!$B$2:$B$444,J4)&gt;1000),"Mid-Value Merchant Day",""))</f>
        <v xml:space="preserve">Mid-Value Merchant Day</v>
      </c>
      <c r="P4" s="11"/>
      <c r="Q4" s="12" t="s">
        <v>60</v>
      </c>
      <c r="R4" s="13" t="s">
        <v>623</v>
      </c>
      <c r="S4" s="14"/>
      <c r="T4" s="14"/>
      <c r="U4" s="14"/>
      <c r="V4" s="15"/>
      <c r="X4" s="16" t="s">
        <v>1</v>
      </c>
      <c r="Y4" t="s">
        <v>624</v>
      </c>
      <c r="Z4" t="s">
        <v>625</v>
      </c>
    </row>
    <row r="5">
      <c r="A5" s="3" t="s">
        <v>68</v>
      </c>
      <c r="B5" s="2">
        <v>92</v>
      </c>
      <c r="C5" s="2">
        <v>22</v>
      </c>
      <c r="D5" s="8" t="s">
        <v>626</v>
      </c>
      <c r="E5" s="6" t="str">
        <f t="shared" si="0"/>
        <v>2026-01-29</v>
      </c>
      <c r="F5" s="2">
        <v>49</v>
      </c>
      <c r="G5" s="3" t="s">
        <v>69</v>
      </c>
      <c r="H5" s="3" t="s">
        <v>64</v>
      </c>
      <c r="I5" s="2">
        <v>100</v>
      </c>
      <c r="J5" s="6" t="str">
        <f>_xlfn.IFNA(VLOOKUP(C5,merchants!$A$1:$D$41,2,0),"Merchant not found")</f>
        <v>Merchant_022</v>
      </c>
      <c r="K5" s="6" t="str">
        <f>_xlfn.IFNA(VLOOKUP(C5,merchants!$A$1:$D$41,3,0),"Merchant not found")</f>
        <v>travel</v>
      </c>
      <c r="L5" s="6" t="str">
        <f>_xlfn.IFNA(VLOOKUP(C5,merchants!$A$1:$D$41,4,0),"Merchant not found")</f>
        <v>South</v>
      </c>
      <c r="M5" s="9">
        <f t="shared" si="1"/>
        <v>0.48999999999999999</v>
      </c>
      <c r="N5" s="6" t="str">
        <f>IF(AND(L5&lt;&gt;"East",SUMIFS(merchant_workbook_pivot_table!$D$2:$D$444,merchant_workbook_pivot_table!$C$2:$C$444,E5,merchant_workbook_pivot_table!$B$2:$B$444,J5)&gt;5000),"High-Value Merchant Day",IF(AND(L5&lt;&gt;"East",SUMIFS(merchant_workbook_pivot_table!$D$2:$D$444,merchant_workbook_pivot_table!$C$2:$C$444,E5,merchant_workbook_pivot_table!$B$2:$B$444,J5)&gt;1000),"Mid-Value Merchant Day",""))</f>
        <v/>
      </c>
      <c r="P5" s="17"/>
      <c r="Q5" s="11" t="s">
        <v>64</v>
      </c>
      <c r="R5" s="14"/>
      <c r="S5" s="11" t="s">
        <v>92</v>
      </c>
      <c r="T5" s="14"/>
      <c r="U5" s="11" t="s">
        <v>79</v>
      </c>
      <c r="V5" s="15"/>
      <c r="X5" s="18" t="s">
        <v>4</v>
      </c>
      <c r="Y5" s="19">
        <v>7</v>
      </c>
      <c r="Z5" s="19">
        <v>9</v>
      </c>
    </row>
    <row r="6">
      <c r="A6" s="3" t="s">
        <v>70</v>
      </c>
      <c r="B6" s="2">
        <v>343</v>
      </c>
      <c r="C6" s="2">
        <v>16</v>
      </c>
      <c r="D6" s="8" t="s">
        <v>627</v>
      </c>
      <c r="E6" s="6" t="str">
        <f t="shared" si="0"/>
        <v>2026-01-30</v>
      </c>
      <c r="F6" s="2">
        <v>99</v>
      </c>
      <c r="G6" s="3" t="s">
        <v>66</v>
      </c>
      <c r="H6" s="3" t="s">
        <v>64</v>
      </c>
      <c r="I6" s="2">
        <v>34</v>
      </c>
      <c r="J6" s="6" t="str">
        <f>_xlfn.IFNA(VLOOKUP(C6,merchants!$A$1:$D$41,2,0),"Merchant not found")</f>
        <v>Merchant_016</v>
      </c>
      <c r="K6" s="6" t="str">
        <f>_xlfn.IFNA(VLOOKUP(C6,merchants!$A$1:$D$41,3,0),"Merchant not found")</f>
        <v>bill_payment</v>
      </c>
      <c r="L6" s="6" t="str">
        <f>_xlfn.IFNA(VLOOKUP(C6,merchants!$A$1:$D$41,4,0),"Merchant not found")</f>
        <v>West</v>
      </c>
      <c r="M6" s="9">
        <f t="shared" si="1"/>
        <v>0</v>
      </c>
      <c r="N6" s="6" t="str">
        <f>IF(AND(L6&lt;&gt;"East",SUMIFS(merchant_workbook_pivot_table!$D$2:$D$444,merchant_workbook_pivot_table!$C$2:$C$444,E6,merchant_workbook_pivot_table!$B$2:$B$444,J6)&gt;5000),"High-Value Merchant Day",IF(AND(L6&lt;&gt;"East",SUMIFS(merchant_workbook_pivot_table!$D$2:$D$444,merchant_workbook_pivot_table!$C$2:$C$444,E6,merchant_workbook_pivot_table!$B$2:$B$444,J6)&gt;1000),"Mid-Value Merchant Day",""))</f>
        <v/>
      </c>
      <c r="P6" s="12" t="s">
        <v>0</v>
      </c>
      <c r="Q6" s="11" t="s">
        <v>58</v>
      </c>
      <c r="R6" s="20" t="s">
        <v>625</v>
      </c>
      <c r="S6" s="11" t="s">
        <v>58</v>
      </c>
      <c r="T6" s="20" t="s">
        <v>625</v>
      </c>
      <c r="U6" s="11" t="s">
        <v>58</v>
      </c>
      <c r="V6" s="21" t="s">
        <v>625</v>
      </c>
      <c r="X6" s="18" t="s">
        <v>7</v>
      </c>
      <c r="Y6" s="19">
        <v>9</v>
      </c>
      <c r="Z6" s="19">
        <v>10</v>
      </c>
    </row>
    <row r="7">
      <c r="A7" s="3" t="s">
        <v>71</v>
      </c>
      <c r="B7" s="2">
        <v>196</v>
      </c>
      <c r="C7" s="2">
        <v>3</v>
      </c>
      <c r="D7" s="8" t="s">
        <v>628</v>
      </c>
      <c r="E7" s="6" t="str">
        <f t="shared" si="0"/>
        <v>2026-01-06</v>
      </c>
      <c r="F7" s="2">
        <v>99</v>
      </c>
      <c r="G7" s="3" t="s">
        <v>66</v>
      </c>
      <c r="H7" s="3" t="s">
        <v>64</v>
      </c>
      <c r="I7" s="2">
        <v>60</v>
      </c>
      <c r="J7" s="6" t="str">
        <f>_xlfn.IFNA(VLOOKUP(C7,merchants!$A$1:$D$41,2,0),"Merchant not found")</f>
        <v>Merchant_003</v>
      </c>
      <c r="K7" s="6" t="str">
        <f>_xlfn.IFNA(VLOOKUP(C7,merchants!$A$1:$D$41,3,0),"Merchant not found")</f>
        <v>grocery</v>
      </c>
      <c r="L7" s="6" t="str">
        <f>_xlfn.IFNA(VLOOKUP(C7,merchants!$A$1:$D$41,4,0),"Merchant not found")</f>
        <v>East</v>
      </c>
      <c r="M7" s="9">
        <f t="shared" si="1"/>
        <v>0</v>
      </c>
      <c r="N7" s="6" t="str">
        <f>IF(AND(L7&lt;&gt;"East",SUMIFS(merchant_workbook_pivot_table!$D$2:$D$444,merchant_workbook_pivot_table!$C$2:$C$444,E7,merchant_workbook_pivot_table!$B$2:$B$444,J7)&gt;5000),"High-Value Merchant Day",IF(AND(L7&lt;&gt;"East",SUMIFS(merchant_workbook_pivot_table!$D$2:$D$444,merchant_workbook_pivot_table!$C$2:$C$444,E7,merchant_workbook_pivot_table!$B$2:$B$444,J7)&gt;1000),"Mid-Value Merchant Day",""))</f>
        <v/>
      </c>
      <c r="P7" s="11">
        <v>1</v>
      </c>
      <c r="Q7" s="11">
        <v>10142</v>
      </c>
      <c r="R7" s="20">
        <v>8</v>
      </c>
      <c r="S7" s="11"/>
      <c r="T7" s="20"/>
      <c r="U7" s="11">
        <v>299</v>
      </c>
      <c r="V7" s="21">
        <v>1</v>
      </c>
      <c r="X7" s="18" t="s">
        <v>10</v>
      </c>
      <c r="Y7" s="19">
        <v>13</v>
      </c>
      <c r="Z7" s="19">
        <v>17</v>
      </c>
    </row>
    <row r="8">
      <c r="A8" s="3" t="s">
        <v>72</v>
      </c>
      <c r="B8" s="2">
        <v>236</v>
      </c>
      <c r="C8" s="2">
        <v>23</v>
      </c>
      <c r="D8" s="8" t="s">
        <v>629</v>
      </c>
      <c r="E8" s="6" t="str">
        <f t="shared" si="0"/>
        <v>2026-01-08</v>
      </c>
      <c r="F8" s="2">
        <v>99</v>
      </c>
      <c r="G8" s="3" t="s">
        <v>63</v>
      </c>
      <c r="H8" s="3" t="s">
        <v>64</v>
      </c>
      <c r="I8" s="2">
        <v>39</v>
      </c>
      <c r="J8" s="6" t="str">
        <f>_xlfn.IFNA(VLOOKUP(C8,merchants!$A$1:$D$41,2,0),"Merchant not found")</f>
        <v>Merchant_023</v>
      </c>
      <c r="K8" s="6" t="str">
        <f>_xlfn.IFNA(VLOOKUP(C8,merchants!$A$1:$D$41,3,0),"Merchant not found")</f>
        <v>travel</v>
      </c>
      <c r="L8" s="6" t="str">
        <f>_xlfn.IFNA(VLOOKUP(C8,merchants!$A$1:$D$41,4,0),"Merchant not found")</f>
        <v>North</v>
      </c>
      <c r="M8" s="9">
        <f t="shared" si="1"/>
        <v>1.4849999999999999</v>
      </c>
      <c r="N8" s="6" t="str">
        <f>IF(AND(L8&lt;&gt;"East",SUMIFS(merchant_workbook_pivot_table!$D$2:$D$444,merchant_workbook_pivot_table!$C$2:$C$444,E8,merchant_workbook_pivot_table!$B$2:$B$444,J8)&gt;5000),"High-Value Merchant Day",IF(AND(L8&lt;&gt;"East",SUMIFS(merchant_workbook_pivot_table!$D$2:$D$444,merchant_workbook_pivot_table!$C$2:$C$444,E8,merchant_workbook_pivot_table!$B$2:$B$444,J8)&gt;1000),"Mid-Value Merchant Day",""))</f>
        <v/>
      </c>
      <c r="P8" s="22">
        <v>2</v>
      </c>
      <c r="Q8" s="22">
        <v>3640</v>
      </c>
      <c r="R8" s="19">
        <v>10</v>
      </c>
      <c r="S8" s="22"/>
      <c r="T8" s="19"/>
      <c r="U8" s="22"/>
      <c r="V8" s="23"/>
      <c r="X8" s="18" t="s">
        <v>12</v>
      </c>
      <c r="Y8" s="19">
        <v>7</v>
      </c>
      <c r="Z8" s="19">
        <v>9</v>
      </c>
    </row>
    <row r="9">
      <c r="A9" s="3" t="s">
        <v>73</v>
      </c>
      <c r="B9" s="2">
        <v>13</v>
      </c>
      <c r="C9" s="2">
        <v>13</v>
      </c>
      <c r="D9" s="8" t="s">
        <v>630</v>
      </c>
      <c r="E9" s="6" t="str">
        <f t="shared" si="0"/>
        <v>2026-01-27</v>
      </c>
      <c r="F9" s="2">
        <v>99</v>
      </c>
      <c r="G9" s="3" t="s">
        <v>66</v>
      </c>
      <c r="H9" s="3" t="s">
        <v>64</v>
      </c>
      <c r="I9" s="2">
        <v>51</v>
      </c>
      <c r="J9" s="6" t="str">
        <f>_xlfn.IFNA(VLOOKUP(C9,merchants!$A$1:$D$41,2,0),"Merchant not found")</f>
        <v>Merchant_013</v>
      </c>
      <c r="K9" s="6" t="str">
        <f>_xlfn.IFNA(VLOOKUP(C9,merchants!$A$1:$D$41,3,0),"Merchant not found")</f>
        <v>travel</v>
      </c>
      <c r="L9" s="6" t="str">
        <f>_xlfn.IFNA(VLOOKUP(C9,merchants!$A$1:$D$41,4,0),"Merchant not found")</f>
        <v>East</v>
      </c>
      <c r="M9" s="9">
        <f t="shared" si="1"/>
        <v>0</v>
      </c>
      <c r="N9" s="6" t="str">
        <f>IF(AND(L9&lt;&gt;"East",SUMIFS(merchant_workbook_pivot_table!$D$2:$D$444,merchant_workbook_pivot_table!$C$2:$C$444,E9,merchant_workbook_pivot_table!$B$2:$B$444,J9)&gt;5000),"High-Value Merchant Day",IF(AND(L9&lt;&gt;"East",SUMIFS(merchant_workbook_pivot_table!$D$2:$D$444,merchant_workbook_pivot_table!$C$2:$C$444,E9,merchant_workbook_pivot_table!$B$2:$B$444,J9)&gt;1000),"Mid-Value Merchant Day",""))</f>
        <v/>
      </c>
      <c r="P9" s="22">
        <v>3</v>
      </c>
      <c r="Q9" s="22">
        <v>8084</v>
      </c>
      <c r="R9" s="19">
        <v>16</v>
      </c>
      <c r="S9" s="22">
        <v>149</v>
      </c>
      <c r="T9" s="19">
        <v>1</v>
      </c>
      <c r="U9" s="22"/>
      <c r="V9" s="23"/>
      <c r="X9" s="18" t="s">
        <v>13</v>
      </c>
      <c r="Y9" s="19">
        <v>9</v>
      </c>
      <c r="Z9" s="19">
        <v>11</v>
      </c>
    </row>
    <row r="10">
      <c r="A10" s="3" t="s">
        <v>74</v>
      </c>
      <c r="B10" s="2">
        <v>36</v>
      </c>
      <c r="C10" s="2">
        <v>18</v>
      </c>
      <c r="D10" s="8" t="s">
        <v>631</v>
      </c>
      <c r="E10" s="6" t="str">
        <f t="shared" si="0"/>
        <v>2026-01-11</v>
      </c>
      <c r="F10" s="2">
        <v>799</v>
      </c>
      <c r="G10" s="3" t="s">
        <v>66</v>
      </c>
      <c r="H10" s="3" t="s">
        <v>64</v>
      </c>
      <c r="I10" s="2">
        <v>44</v>
      </c>
      <c r="J10" s="6" t="str">
        <f>_xlfn.IFNA(VLOOKUP(C10,merchants!$A$1:$D$41,2,0),"Merchant not found")</f>
        <v>Merchant_018</v>
      </c>
      <c r="K10" s="6" t="str">
        <f>_xlfn.IFNA(VLOOKUP(C10,merchants!$A$1:$D$41,3,0),"Merchant not found")</f>
        <v>grocery</v>
      </c>
      <c r="L10" s="6" t="str">
        <f>_xlfn.IFNA(VLOOKUP(C10,merchants!$A$1:$D$41,4,0),"Merchant not found")</f>
        <v>West</v>
      </c>
      <c r="M10" s="9">
        <f t="shared" si="1"/>
        <v>0</v>
      </c>
      <c r="N10" s="6" t="str">
        <f>IF(AND(L10&lt;&gt;"East",SUMIFS(merchant_workbook_pivot_table!$D$2:$D$444,merchant_workbook_pivot_table!$C$2:$C$444,E10,merchant_workbook_pivot_table!$B$2:$B$444,J10)&gt;5000),"High-Value Merchant Day",IF(AND(L10&lt;&gt;"East",SUMIFS(merchant_workbook_pivot_table!$D$2:$D$444,merchant_workbook_pivot_table!$C$2:$C$444,E10,merchant_workbook_pivot_table!$B$2:$B$444,J10)&gt;1000),"Mid-Value Merchant Day",""))</f>
        <v/>
      </c>
      <c r="P10" s="22">
        <v>4</v>
      </c>
      <c r="Q10" s="22">
        <v>6941</v>
      </c>
      <c r="R10" s="19">
        <v>9</v>
      </c>
      <c r="S10" s="22"/>
      <c r="T10" s="19"/>
      <c r="U10" s="22"/>
      <c r="V10" s="23"/>
      <c r="X10" s="18" t="s">
        <v>15</v>
      </c>
      <c r="Y10" s="19">
        <v>12</v>
      </c>
      <c r="Z10" s="19">
        <v>14</v>
      </c>
    </row>
    <row r="11">
      <c r="A11" s="3" t="s">
        <v>75</v>
      </c>
      <c r="B11" s="2">
        <v>348</v>
      </c>
      <c r="C11" s="2">
        <v>35</v>
      </c>
      <c r="D11" s="8" t="s">
        <v>632</v>
      </c>
      <c r="E11" s="6" t="str">
        <f t="shared" si="0"/>
        <v>2026-01-21</v>
      </c>
      <c r="F11" s="2">
        <v>299</v>
      </c>
      <c r="G11" s="3" t="s">
        <v>66</v>
      </c>
      <c r="H11" s="3" t="s">
        <v>64</v>
      </c>
      <c r="I11" s="2">
        <v>42</v>
      </c>
      <c r="J11" s="6" t="str">
        <f>_xlfn.IFNA(VLOOKUP(C11,merchants!$A$1:$D$41,2,0),"Merchant not found")</f>
        <v>Merchant_035</v>
      </c>
      <c r="K11" s="6" t="str">
        <f>_xlfn.IFNA(VLOOKUP(C11,merchants!$A$1:$D$41,3,0),"Merchant not found")</f>
        <v>recharge</v>
      </c>
      <c r="L11" s="6" t="str">
        <f>_xlfn.IFNA(VLOOKUP(C11,merchants!$A$1:$D$41,4,0),"Merchant not found")</f>
        <v>East</v>
      </c>
      <c r="M11" s="9">
        <f t="shared" si="1"/>
        <v>0</v>
      </c>
      <c r="N11" s="6" t="str">
        <f>IF(AND(L11&lt;&gt;"East",SUMIFS(merchant_workbook_pivot_table!$D$2:$D$444,merchant_workbook_pivot_table!$C$2:$C$444,E11,merchant_workbook_pivot_table!$B$2:$B$444,J11)&gt;5000),"High-Value Merchant Day",IF(AND(L11&lt;&gt;"East",SUMIFS(merchant_workbook_pivot_table!$D$2:$D$444,merchant_workbook_pivot_table!$C$2:$C$444,E11,merchant_workbook_pivot_table!$B$2:$B$444,J11)&gt;1000),"Mid-Value Merchant Day",""))</f>
        <v/>
      </c>
      <c r="P11" s="22">
        <v>5</v>
      </c>
      <c r="Q11" s="22">
        <v>5340</v>
      </c>
      <c r="R11" s="19">
        <v>10</v>
      </c>
      <c r="S11" s="22"/>
      <c r="T11" s="19"/>
      <c r="U11" s="22">
        <v>499</v>
      </c>
      <c r="V11" s="23">
        <v>1</v>
      </c>
      <c r="X11" s="18" t="s">
        <v>17</v>
      </c>
      <c r="Y11" s="19">
        <v>11</v>
      </c>
      <c r="Z11" s="19">
        <v>16</v>
      </c>
    </row>
    <row r="12">
      <c r="A12" s="3" t="s">
        <v>76</v>
      </c>
      <c r="B12" s="2">
        <v>134</v>
      </c>
      <c r="C12" s="2">
        <v>12</v>
      </c>
      <c r="D12" s="8" t="s">
        <v>633</v>
      </c>
      <c r="E12" s="6" t="str">
        <f t="shared" si="0"/>
        <v>2026-01-01</v>
      </c>
      <c r="F12" s="2">
        <v>49</v>
      </c>
      <c r="G12" s="3" t="s">
        <v>66</v>
      </c>
      <c r="H12" s="3" t="s">
        <v>64</v>
      </c>
      <c r="I12" s="2">
        <v>74</v>
      </c>
      <c r="J12" s="6" t="str">
        <f>_xlfn.IFNA(VLOOKUP(C12,merchants!$A$1:$D$41,2,0),"Merchant not found")</f>
        <v>Merchant_012</v>
      </c>
      <c r="K12" s="6" t="str">
        <f>_xlfn.IFNA(VLOOKUP(C12,merchants!$A$1:$D$41,3,0),"Merchant not found")</f>
        <v>ecommerce</v>
      </c>
      <c r="L12" s="6" t="str">
        <f>_xlfn.IFNA(VLOOKUP(C12,merchants!$A$1:$D$41,4,0),"Merchant not found")</f>
        <v>East</v>
      </c>
      <c r="M12" s="9">
        <f t="shared" si="1"/>
        <v>0</v>
      </c>
      <c r="N12" s="6" t="str">
        <f>IF(AND(L12&lt;&gt;"East",SUMIFS(merchant_workbook_pivot_table!$D$2:$D$444,merchant_workbook_pivot_table!$C$2:$C$444,E12,merchant_workbook_pivot_table!$B$2:$B$444,J12)&gt;5000),"High-Value Merchant Day",IF(AND(L12&lt;&gt;"East",SUMIFS(merchant_workbook_pivot_table!$D$2:$D$444,merchant_workbook_pivot_table!$C$2:$C$444,E12,merchant_workbook_pivot_table!$B$2:$B$444,J12)&gt;1000),"Mid-Value Merchant Day",""))</f>
        <v/>
      </c>
      <c r="P12" s="22">
        <v>6</v>
      </c>
      <c r="Q12" s="22">
        <v>6637</v>
      </c>
      <c r="R12" s="19">
        <v>13</v>
      </c>
      <c r="S12" s="22">
        <v>799</v>
      </c>
      <c r="T12" s="19">
        <v>1</v>
      </c>
      <c r="U12" s="22"/>
      <c r="V12" s="23"/>
      <c r="X12" s="18" t="s">
        <v>18</v>
      </c>
      <c r="Y12" s="19">
        <v>13</v>
      </c>
      <c r="Z12" s="19">
        <v>16</v>
      </c>
    </row>
    <row r="13">
      <c r="A13" s="3" t="s">
        <v>77</v>
      </c>
      <c r="B13" s="2">
        <v>306</v>
      </c>
      <c r="C13" s="2">
        <v>28</v>
      </c>
      <c r="D13" s="8" t="s">
        <v>634</v>
      </c>
      <c r="E13" s="6" t="str">
        <f t="shared" si="0"/>
        <v>2026-01-09</v>
      </c>
      <c r="F13" s="2">
        <v>2999</v>
      </c>
      <c r="G13" s="3" t="s">
        <v>78</v>
      </c>
      <c r="H13" s="3" t="s">
        <v>79</v>
      </c>
      <c r="I13" s="2">
        <v>44</v>
      </c>
      <c r="J13" s="6" t="str">
        <f>_xlfn.IFNA(VLOOKUP(C13,merchants!$A$1:$D$41,2,0),"Merchant not found")</f>
        <v>Merchant_028</v>
      </c>
      <c r="K13" s="6" t="str">
        <f>_xlfn.IFNA(VLOOKUP(C13,merchants!$A$1:$D$41,3,0),"Merchant not found")</f>
        <v>ecommerce</v>
      </c>
      <c r="L13" s="6" t="str">
        <f>_xlfn.IFNA(VLOOKUP(C13,merchants!$A$1:$D$41,4,0),"Merchant not found")</f>
        <v>South</v>
      </c>
      <c r="M13" s="9">
        <f t="shared" si="1"/>
        <v>59.980000000000004</v>
      </c>
      <c r="N13" s="6" t="str">
        <f>IF(AND(L13&lt;&gt;"East",SUMIFS(merchant_workbook_pivot_table!$D$2:$D$444,merchant_workbook_pivot_table!$C$2:$C$444,E13,merchant_workbook_pivot_table!$B$2:$B$444,J13)&gt;5000),"High-Value Merchant Day",IF(AND(L13&lt;&gt;"East",SUMIFS(merchant_workbook_pivot_table!$D$2:$D$444,merchant_workbook_pivot_table!$C$2:$C$444,E13,merchant_workbook_pivot_table!$B$2:$B$444,J13)&gt;1000),"Mid-Value Merchant Day",""))</f>
        <v xml:space="preserve">Mid-Value Merchant Day</v>
      </c>
      <c r="P13" s="22">
        <v>7</v>
      </c>
      <c r="Q13" s="22">
        <v>11638</v>
      </c>
      <c r="R13" s="19">
        <v>12</v>
      </c>
      <c r="S13" s="22">
        <v>1999</v>
      </c>
      <c r="T13" s="19">
        <v>1</v>
      </c>
      <c r="U13" s="22">
        <v>2297</v>
      </c>
      <c r="V13" s="23">
        <v>3</v>
      </c>
      <c r="X13" s="18" t="s">
        <v>20</v>
      </c>
      <c r="Y13" s="19">
        <v>14</v>
      </c>
      <c r="Z13" s="19">
        <v>18</v>
      </c>
    </row>
    <row r="14">
      <c r="A14" s="3" t="s">
        <v>80</v>
      </c>
      <c r="B14" s="2">
        <v>311</v>
      </c>
      <c r="C14" s="2">
        <v>33</v>
      </c>
      <c r="D14" s="8" t="s">
        <v>635</v>
      </c>
      <c r="E14" s="6" t="str">
        <f t="shared" si="0"/>
        <v>2026-01-24</v>
      </c>
      <c r="F14" s="2">
        <v>49</v>
      </c>
      <c r="G14" s="3" t="s">
        <v>63</v>
      </c>
      <c r="H14" s="3" t="s">
        <v>64</v>
      </c>
      <c r="I14" s="2">
        <v>14</v>
      </c>
      <c r="J14" s="6" t="str">
        <f>_xlfn.IFNA(VLOOKUP(C14,merchants!$A$1:$D$41,2,0),"Merchant not found")</f>
        <v>Merchant_033</v>
      </c>
      <c r="K14" s="6" t="str">
        <f>_xlfn.IFNA(VLOOKUP(C14,merchants!$A$1:$D$41,3,0),"Merchant not found")</f>
        <v>bill_payment</v>
      </c>
      <c r="L14" s="6" t="str">
        <f>_xlfn.IFNA(VLOOKUP(C14,merchants!$A$1:$D$41,4,0),"Merchant not found")</f>
        <v>East</v>
      </c>
      <c r="M14" s="9">
        <f t="shared" si="1"/>
        <v>0.73499999999999999</v>
      </c>
      <c r="N14" s="6" t="str">
        <f>IF(AND(L14&lt;&gt;"East",SUMIFS(merchant_workbook_pivot_table!$D$2:$D$444,merchant_workbook_pivot_table!$C$2:$C$444,E14,merchant_workbook_pivot_table!$B$2:$B$444,J14)&gt;5000),"High-Value Merchant Day",IF(AND(L14&lt;&gt;"East",SUMIFS(merchant_workbook_pivot_table!$D$2:$D$444,merchant_workbook_pivot_table!$C$2:$C$444,E14,merchant_workbook_pivot_table!$B$2:$B$444,J14)&gt;1000),"Mid-Value Merchant Day",""))</f>
        <v/>
      </c>
      <c r="P14" s="22">
        <v>8</v>
      </c>
      <c r="Q14" s="22">
        <v>7086</v>
      </c>
      <c r="R14" s="19">
        <v>14</v>
      </c>
      <c r="S14" s="22">
        <v>49</v>
      </c>
      <c r="T14" s="19">
        <v>1</v>
      </c>
      <c r="U14" s="22">
        <v>299</v>
      </c>
      <c r="V14" s="23">
        <v>1</v>
      </c>
      <c r="X14" s="18" t="s">
        <v>21</v>
      </c>
      <c r="Y14" s="19">
        <v>12</v>
      </c>
      <c r="Z14" s="19">
        <v>14</v>
      </c>
    </row>
    <row r="15">
      <c r="A15" s="3" t="s">
        <v>81</v>
      </c>
      <c r="B15" s="2">
        <v>131</v>
      </c>
      <c r="C15" s="2">
        <v>3</v>
      </c>
      <c r="D15" s="8" t="s">
        <v>636</v>
      </c>
      <c r="E15" s="6" t="str">
        <f t="shared" si="0"/>
        <v>2026-01-13</v>
      </c>
      <c r="F15" s="2">
        <v>49</v>
      </c>
      <c r="G15" s="3" t="s">
        <v>66</v>
      </c>
      <c r="H15" s="3" t="s">
        <v>64</v>
      </c>
      <c r="I15" s="2">
        <v>90</v>
      </c>
      <c r="J15" s="6" t="str">
        <f>_xlfn.IFNA(VLOOKUP(C15,merchants!$A$1:$D$41,2,0),"Merchant not found")</f>
        <v>Merchant_003</v>
      </c>
      <c r="K15" s="6" t="str">
        <f>_xlfn.IFNA(VLOOKUP(C15,merchants!$A$1:$D$41,3,0),"Merchant not found")</f>
        <v>grocery</v>
      </c>
      <c r="L15" s="6" t="str">
        <f>_xlfn.IFNA(VLOOKUP(C15,merchants!$A$1:$D$41,4,0),"Merchant not found")</f>
        <v>East</v>
      </c>
      <c r="M15" s="9">
        <f t="shared" si="1"/>
        <v>0</v>
      </c>
      <c r="N15" s="6" t="str">
        <f>IF(AND(L15&lt;&gt;"East",SUMIFS(merchant_workbook_pivot_table!$D$2:$D$444,merchant_workbook_pivot_table!$C$2:$C$444,E15,merchant_workbook_pivot_table!$B$2:$B$444,J15)&gt;5000),"High-Value Merchant Day",IF(AND(L15&lt;&gt;"East",SUMIFS(merchant_workbook_pivot_table!$D$2:$D$444,merchant_workbook_pivot_table!$C$2:$C$444,E15,merchant_workbook_pivot_table!$B$2:$B$444,J15)&gt;1000),"Mid-Value Merchant Day",""))</f>
        <v/>
      </c>
      <c r="P15" s="22">
        <v>9</v>
      </c>
      <c r="Q15" s="22">
        <v>4485</v>
      </c>
      <c r="R15" s="19">
        <v>15</v>
      </c>
      <c r="S15" s="22"/>
      <c r="T15" s="19"/>
      <c r="U15" s="22">
        <v>497</v>
      </c>
      <c r="V15" s="23">
        <v>3</v>
      </c>
      <c r="X15" s="18" t="s">
        <v>22</v>
      </c>
      <c r="Y15" s="19">
        <v>9</v>
      </c>
      <c r="Z15" s="19">
        <v>10</v>
      </c>
    </row>
    <row r="16">
      <c r="A16" s="3" t="s">
        <v>82</v>
      </c>
      <c r="B16" s="2">
        <v>276</v>
      </c>
      <c r="C16" s="2">
        <v>13</v>
      </c>
      <c r="D16" s="8" t="s">
        <v>637</v>
      </c>
      <c r="E16" s="6" t="str">
        <f t="shared" si="0"/>
        <v>2026-01-14</v>
      </c>
      <c r="F16" s="2">
        <v>1499</v>
      </c>
      <c r="G16" s="3" t="s">
        <v>66</v>
      </c>
      <c r="H16" s="3" t="s">
        <v>64</v>
      </c>
      <c r="I16" s="2">
        <v>46</v>
      </c>
      <c r="J16" s="6" t="str">
        <f>_xlfn.IFNA(VLOOKUP(C16,merchants!$A$1:$D$41,2,0),"Merchant not found")</f>
        <v>Merchant_013</v>
      </c>
      <c r="K16" s="6" t="str">
        <f>_xlfn.IFNA(VLOOKUP(C16,merchants!$A$1:$D$41,3,0),"Merchant not found")</f>
        <v>travel</v>
      </c>
      <c r="L16" s="6" t="str">
        <f>_xlfn.IFNA(VLOOKUP(C16,merchants!$A$1:$D$41,4,0),"Merchant not found")</f>
        <v>East</v>
      </c>
      <c r="M16" s="9">
        <f t="shared" si="1"/>
        <v>0</v>
      </c>
      <c r="N16" s="6" t="str">
        <f>IF(AND(L16&lt;&gt;"East",SUMIFS(merchant_workbook_pivot_table!$D$2:$D$444,merchant_workbook_pivot_table!$C$2:$C$444,E16,merchant_workbook_pivot_table!$B$2:$B$444,J16)&gt;5000),"High-Value Merchant Day",IF(AND(L16&lt;&gt;"East",SUMIFS(merchant_workbook_pivot_table!$D$2:$D$444,merchant_workbook_pivot_table!$C$2:$C$444,E16,merchant_workbook_pivot_table!$B$2:$B$444,J16)&gt;1000),"Mid-Value Merchant Day",""))</f>
        <v/>
      </c>
      <c r="P16" s="22">
        <v>10</v>
      </c>
      <c r="Q16" s="22">
        <v>7639</v>
      </c>
      <c r="R16" s="19">
        <v>11</v>
      </c>
      <c r="S16" s="22">
        <v>5048</v>
      </c>
      <c r="T16" s="19">
        <v>2</v>
      </c>
      <c r="U16" s="22">
        <v>399</v>
      </c>
      <c r="V16" s="23">
        <v>1</v>
      </c>
      <c r="X16" s="18" t="s">
        <v>23</v>
      </c>
      <c r="Y16" s="19">
        <v>9</v>
      </c>
      <c r="Z16" s="19">
        <v>13</v>
      </c>
    </row>
    <row r="17">
      <c r="A17" s="3" t="s">
        <v>83</v>
      </c>
      <c r="B17" s="2">
        <v>170</v>
      </c>
      <c r="C17" s="2">
        <v>40</v>
      </c>
      <c r="D17" s="8" t="s">
        <v>638</v>
      </c>
      <c r="E17" s="6" t="str">
        <f t="shared" si="0"/>
        <v>2026-01-14</v>
      </c>
      <c r="F17" s="2">
        <v>99</v>
      </c>
      <c r="G17" s="3" t="s">
        <v>66</v>
      </c>
      <c r="H17" s="3" t="s">
        <v>64</v>
      </c>
      <c r="I17" s="2">
        <v>40</v>
      </c>
      <c r="J17" s="6" t="str">
        <f>_xlfn.IFNA(VLOOKUP(C17,merchants!$A$1:$D$41,2,0),"Merchant not found")</f>
        <v>Merchant_040</v>
      </c>
      <c r="K17" s="6" t="str">
        <f>_xlfn.IFNA(VLOOKUP(C17,merchants!$A$1:$D$41,3,0),"Merchant not found")</f>
        <v>entertainment</v>
      </c>
      <c r="L17" s="6" t="str">
        <f>_xlfn.IFNA(VLOOKUP(C17,merchants!$A$1:$D$41,4,0),"Merchant not found")</f>
        <v>South</v>
      </c>
      <c r="M17" s="9">
        <f t="shared" si="1"/>
        <v>0</v>
      </c>
      <c r="N17" s="6" t="str">
        <f>IF(AND(L17&lt;&gt;"East",SUMIFS(merchant_workbook_pivot_table!$D$2:$D$444,merchant_workbook_pivot_table!$C$2:$C$444,E17,merchant_workbook_pivot_table!$B$2:$B$444,J17)&gt;5000),"High-Value Merchant Day",IF(AND(L17&lt;&gt;"East",SUMIFS(merchant_workbook_pivot_table!$D$2:$D$444,merchant_workbook_pivot_table!$C$2:$C$444,E17,merchant_workbook_pivot_table!$B$2:$B$444,J17)&gt;1000),"Mid-Value Merchant Day",""))</f>
        <v/>
      </c>
      <c r="P17" s="22">
        <v>11</v>
      </c>
      <c r="Q17" s="22">
        <v>9292</v>
      </c>
      <c r="R17" s="19">
        <v>8</v>
      </c>
      <c r="S17" s="22">
        <v>149</v>
      </c>
      <c r="T17" s="19">
        <v>1</v>
      </c>
      <c r="U17" s="22">
        <v>1499</v>
      </c>
      <c r="V17" s="23">
        <v>1</v>
      </c>
      <c r="X17" s="18" t="s">
        <v>24</v>
      </c>
      <c r="Y17" s="19">
        <v>11</v>
      </c>
      <c r="Z17" s="19">
        <v>12</v>
      </c>
    </row>
    <row r="18">
      <c r="A18" s="3" t="s">
        <v>84</v>
      </c>
      <c r="B18" s="2">
        <v>154</v>
      </c>
      <c r="C18" s="2">
        <v>33</v>
      </c>
      <c r="D18" s="8" t="s">
        <v>639</v>
      </c>
      <c r="E18" s="6" t="str">
        <f t="shared" si="0"/>
        <v>2026-01-22</v>
      </c>
      <c r="F18" s="2">
        <v>99</v>
      </c>
      <c r="G18" s="3" t="s">
        <v>69</v>
      </c>
      <c r="H18" s="3" t="s">
        <v>64</v>
      </c>
      <c r="I18" s="2">
        <v>39</v>
      </c>
      <c r="J18" s="6" t="str">
        <f>_xlfn.IFNA(VLOOKUP(C18,merchants!$A$1:$D$41,2,0),"Merchant not found")</f>
        <v>Merchant_033</v>
      </c>
      <c r="K18" s="6" t="str">
        <f>_xlfn.IFNA(VLOOKUP(C18,merchants!$A$1:$D$41,3,0),"Merchant not found")</f>
        <v>bill_payment</v>
      </c>
      <c r="L18" s="6" t="str">
        <f>_xlfn.IFNA(VLOOKUP(C18,merchants!$A$1:$D$41,4,0),"Merchant not found")</f>
        <v>East</v>
      </c>
      <c r="M18" s="9">
        <f t="shared" si="1"/>
        <v>0.98999999999999999</v>
      </c>
      <c r="N18" s="6" t="str">
        <f>IF(AND(L18&lt;&gt;"East",SUMIFS(merchant_workbook_pivot_table!$D$2:$D$444,merchant_workbook_pivot_table!$C$2:$C$444,E18,merchant_workbook_pivot_table!$B$2:$B$444,J18)&gt;5000),"High-Value Merchant Day",IF(AND(L18&lt;&gt;"East",SUMIFS(merchant_workbook_pivot_table!$D$2:$D$444,merchant_workbook_pivot_table!$C$2:$C$444,E18,merchant_workbook_pivot_table!$B$2:$B$444,J18)&gt;1000),"Mid-Value Merchant Day",""))</f>
        <v/>
      </c>
      <c r="P18" s="22">
        <v>12</v>
      </c>
      <c r="Q18" s="22">
        <v>9389</v>
      </c>
      <c r="R18" s="19">
        <v>11</v>
      </c>
      <c r="S18" s="22"/>
      <c r="T18" s="19"/>
      <c r="U18" s="22">
        <v>998</v>
      </c>
      <c r="V18" s="23">
        <v>2</v>
      </c>
      <c r="X18" s="18" t="s">
        <v>26</v>
      </c>
      <c r="Y18" s="19">
        <v>11</v>
      </c>
      <c r="Z18" s="19">
        <v>12</v>
      </c>
    </row>
    <row r="19">
      <c r="A19" s="3" t="s">
        <v>85</v>
      </c>
      <c r="B19" s="2">
        <v>207</v>
      </c>
      <c r="C19" s="2">
        <v>19</v>
      </c>
      <c r="D19" s="8" t="s">
        <v>640</v>
      </c>
      <c r="E19" s="6" t="str">
        <f t="shared" si="0"/>
        <v>2026-01-22</v>
      </c>
      <c r="F19" s="2">
        <v>2999</v>
      </c>
      <c r="G19" s="3" t="s">
        <v>78</v>
      </c>
      <c r="H19" s="3" t="s">
        <v>64</v>
      </c>
      <c r="I19" s="2">
        <v>70</v>
      </c>
      <c r="J19" s="6" t="str">
        <f>_xlfn.IFNA(VLOOKUP(C19,merchants!$A$1:$D$41,2,0),"Merchant not found")</f>
        <v>Merchant_019</v>
      </c>
      <c r="K19" s="6" t="str">
        <f>_xlfn.IFNA(VLOOKUP(C19,merchants!$A$1:$D$41,3,0),"Merchant not found")</f>
        <v>grocery</v>
      </c>
      <c r="L19" s="6" t="str">
        <f>_xlfn.IFNA(VLOOKUP(C19,merchants!$A$1:$D$41,4,0),"Merchant not found")</f>
        <v>North</v>
      </c>
      <c r="M19" s="9">
        <f t="shared" si="1"/>
        <v>59.980000000000004</v>
      </c>
      <c r="N19" s="6" t="str">
        <f>IF(AND(L19&lt;&gt;"East",SUMIFS(merchant_workbook_pivot_table!$D$2:$D$444,merchant_workbook_pivot_table!$C$2:$C$444,E19,merchant_workbook_pivot_table!$B$2:$B$444,J19)&gt;5000),"High-Value Merchant Day",IF(AND(L19&lt;&gt;"East",SUMIFS(merchant_workbook_pivot_table!$D$2:$D$444,merchant_workbook_pivot_table!$C$2:$C$444,E19,merchant_workbook_pivot_table!$B$2:$B$444,J19)&gt;1000),"Mid-Value Merchant Day",""))</f>
        <v xml:space="preserve">Mid-Value Merchant Day</v>
      </c>
      <c r="P19" s="22">
        <v>13</v>
      </c>
      <c r="Q19" s="22">
        <v>10390</v>
      </c>
      <c r="R19" s="19">
        <v>10</v>
      </c>
      <c r="S19" s="22">
        <v>4999</v>
      </c>
      <c r="T19" s="19">
        <v>1</v>
      </c>
      <c r="U19" s="22">
        <v>2999</v>
      </c>
      <c r="V19" s="23">
        <v>1</v>
      </c>
      <c r="X19" s="18" t="s">
        <v>27</v>
      </c>
      <c r="Y19" s="19">
        <v>10</v>
      </c>
      <c r="Z19" s="19">
        <v>12</v>
      </c>
    </row>
    <row r="20">
      <c r="A20" s="3" t="s">
        <v>86</v>
      </c>
      <c r="B20" s="2">
        <v>341</v>
      </c>
      <c r="C20" s="2">
        <v>25</v>
      </c>
      <c r="D20" s="8" t="s">
        <v>641</v>
      </c>
      <c r="E20" s="6" t="str">
        <f t="shared" si="0"/>
        <v>2026-01-05</v>
      </c>
      <c r="F20" s="2">
        <v>2999</v>
      </c>
      <c r="G20" s="3" t="s">
        <v>66</v>
      </c>
      <c r="H20" s="3" t="s">
        <v>64</v>
      </c>
      <c r="I20" s="2">
        <v>86</v>
      </c>
      <c r="J20" s="6" t="str">
        <f>_xlfn.IFNA(VLOOKUP(C20,merchants!$A$1:$D$41,2,0),"Merchant not found")</f>
        <v>Merchant_025</v>
      </c>
      <c r="K20" s="6" t="str">
        <f>_xlfn.IFNA(VLOOKUP(C20,merchants!$A$1:$D$41,3,0),"Merchant not found")</f>
        <v>travel</v>
      </c>
      <c r="L20" s="6" t="str">
        <f>_xlfn.IFNA(VLOOKUP(C20,merchants!$A$1:$D$41,4,0),"Merchant not found")</f>
        <v>South</v>
      </c>
      <c r="M20" s="9">
        <f t="shared" si="1"/>
        <v>0</v>
      </c>
      <c r="N20" s="6" t="str">
        <f>IF(AND(L20&lt;&gt;"East",SUMIFS(merchant_workbook_pivot_table!$D$2:$D$444,merchant_workbook_pivot_table!$C$2:$C$444,E20,merchant_workbook_pivot_table!$B$2:$B$444,J20)&gt;5000),"High-Value Merchant Day",IF(AND(L20&lt;&gt;"East",SUMIFS(merchant_workbook_pivot_table!$D$2:$D$444,merchant_workbook_pivot_table!$C$2:$C$444,E20,merchant_workbook_pivot_table!$B$2:$B$444,J20)&gt;1000),"Mid-Value Merchant Day",""))</f>
        <v xml:space="preserve">Mid-Value Merchant Day</v>
      </c>
      <c r="P20" s="22">
        <v>14</v>
      </c>
      <c r="Q20" s="22">
        <v>6189</v>
      </c>
      <c r="R20" s="19">
        <v>11</v>
      </c>
      <c r="S20" s="22"/>
      <c r="T20" s="19"/>
      <c r="U20" s="22">
        <v>299</v>
      </c>
      <c r="V20" s="23">
        <v>1</v>
      </c>
      <c r="X20" s="18" t="s">
        <v>28</v>
      </c>
      <c r="Y20" s="19">
        <v>15</v>
      </c>
      <c r="Z20" s="19">
        <v>20</v>
      </c>
    </row>
    <row r="21">
      <c r="A21" s="3" t="s">
        <v>87</v>
      </c>
      <c r="B21" s="2">
        <v>292</v>
      </c>
      <c r="C21" s="2">
        <v>20</v>
      </c>
      <c r="D21" s="8" t="s">
        <v>642</v>
      </c>
      <c r="E21" s="6" t="str">
        <f t="shared" si="0"/>
        <v>2026-01-24</v>
      </c>
      <c r="F21" s="2">
        <v>49</v>
      </c>
      <c r="G21" s="3" t="s">
        <v>66</v>
      </c>
      <c r="H21" s="3" t="s">
        <v>64</v>
      </c>
      <c r="I21" s="2">
        <v>51</v>
      </c>
      <c r="J21" s="6" t="str">
        <f>_xlfn.IFNA(VLOOKUP(C21,merchants!$A$1:$D$41,2,0),"Merchant not found")</f>
        <v>Merchant_020</v>
      </c>
      <c r="K21" s="6" t="str">
        <f>_xlfn.IFNA(VLOOKUP(C21,merchants!$A$1:$D$41,3,0),"Merchant not found")</f>
        <v>food_delivery</v>
      </c>
      <c r="L21" s="6" t="str">
        <f>_xlfn.IFNA(VLOOKUP(C21,merchants!$A$1:$D$41,4,0),"Merchant not found")</f>
        <v>East</v>
      </c>
      <c r="M21" s="9">
        <f t="shared" si="1"/>
        <v>0</v>
      </c>
      <c r="N21" s="6" t="str">
        <f>IF(AND(L21&lt;&gt;"East",SUMIFS(merchant_workbook_pivot_table!$D$2:$D$444,merchant_workbook_pivot_table!$C$2:$C$444,E21,merchant_workbook_pivot_table!$B$2:$B$444,J21)&gt;5000),"High-Value Merchant Day",IF(AND(L21&lt;&gt;"East",SUMIFS(merchant_workbook_pivot_table!$D$2:$D$444,merchant_workbook_pivot_table!$C$2:$C$444,E21,merchant_workbook_pivot_table!$B$2:$B$444,J21)&gt;1000),"Mid-Value Merchant Day",""))</f>
        <v/>
      </c>
      <c r="P21" s="22">
        <v>15</v>
      </c>
      <c r="Q21" s="22">
        <v>7439</v>
      </c>
      <c r="R21" s="19">
        <v>11</v>
      </c>
      <c r="S21" s="22"/>
      <c r="T21" s="19"/>
      <c r="U21" s="22">
        <v>399</v>
      </c>
      <c r="V21" s="23">
        <v>1</v>
      </c>
      <c r="X21" s="18" t="s">
        <v>30</v>
      </c>
      <c r="Y21" s="19">
        <v>10</v>
      </c>
      <c r="Z21" s="19">
        <v>13</v>
      </c>
    </row>
    <row r="22">
      <c r="A22" s="3" t="s">
        <v>88</v>
      </c>
      <c r="B22" s="2">
        <v>147</v>
      </c>
      <c r="C22" s="2">
        <v>14</v>
      </c>
      <c r="D22" s="8" t="s">
        <v>643</v>
      </c>
      <c r="E22" s="6" t="str">
        <f t="shared" si="0"/>
        <v>2026-01-18</v>
      </c>
      <c r="F22" s="2">
        <v>99</v>
      </c>
      <c r="G22" s="3" t="s">
        <v>78</v>
      </c>
      <c r="H22" s="3" t="s">
        <v>64</v>
      </c>
      <c r="I22" s="2">
        <v>55</v>
      </c>
      <c r="J22" s="6" t="str">
        <f>_xlfn.IFNA(VLOOKUP(C22,merchants!$A$1:$D$41,2,0),"Merchant not found")</f>
        <v>Merchant_014</v>
      </c>
      <c r="K22" s="6" t="str">
        <f>_xlfn.IFNA(VLOOKUP(C22,merchants!$A$1:$D$41,3,0),"Merchant not found")</f>
        <v>grocery</v>
      </c>
      <c r="L22" s="6" t="str">
        <f>_xlfn.IFNA(VLOOKUP(C22,merchants!$A$1:$D$41,4,0),"Merchant not found")</f>
        <v>East</v>
      </c>
      <c r="M22" s="9">
        <f t="shared" si="1"/>
        <v>1.98</v>
      </c>
      <c r="N22" s="6" t="str">
        <f>IF(AND(L22&lt;&gt;"East",SUMIFS(merchant_workbook_pivot_table!$D$2:$D$444,merchant_workbook_pivot_table!$C$2:$C$444,E22,merchant_workbook_pivot_table!$B$2:$B$444,J22)&gt;5000),"High-Value Merchant Day",IF(AND(L22&lt;&gt;"East",SUMIFS(merchant_workbook_pivot_table!$D$2:$D$444,merchant_workbook_pivot_table!$C$2:$C$444,E22,merchant_workbook_pivot_table!$B$2:$B$444,J22)&gt;1000),"Mid-Value Merchant Day",""))</f>
        <v/>
      </c>
      <c r="P22" s="22">
        <v>16</v>
      </c>
      <c r="Q22" s="22">
        <v>10183</v>
      </c>
      <c r="R22" s="19">
        <v>17</v>
      </c>
      <c r="S22" s="22"/>
      <c r="T22" s="19"/>
      <c r="U22" s="22">
        <v>947</v>
      </c>
      <c r="V22" s="23">
        <v>3</v>
      </c>
      <c r="X22" s="18" t="s">
        <v>31</v>
      </c>
      <c r="Y22" s="19">
        <v>9</v>
      </c>
      <c r="Z22" s="19">
        <v>11</v>
      </c>
    </row>
    <row r="23">
      <c r="A23" s="3" t="s">
        <v>89</v>
      </c>
      <c r="B23" s="2">
        <v>336</v>
      </c>
      <c r="C23" s="2">
        <v>21</v>
      </c>
      <c r="D23" s="8" t="s">
        <v>644</v>
      </c>
      <c r="E23" s="6" t="str">
        <f t="shared" si="0"/>
        <v>2026-01-26</v>
      </c>
      <c r="F23" s="2">
        <v>99</v>
      </c>
      <c r="G23" s="3" t="s">
        <v>66</v>
      </c>
      <c r="H23" s="3" t="s">
        <v>64</v>
      </c>
      <c r="I23" s="2">
        <v>59</v>
      </c>
      <c r="J23" s="6" t="str">
        <f>_xlfn.IFNA(VLOOKUP(C23,merchants!$A$1:$D$41,2,0),"Merchant not found")</f>
        <v>Merchant_021</v>
      </c>
      <c r="K23" s="6" t="str">
        <f>_xlfn.IFNA(VLOOKUP(C23,merchants!$A$1:$D$41,3,0),"Merchant not found")</f>
        <v>food_delivery</v>
      </c>
      <c r="L23" s="6" t="str">
        <f>_xlfn.IFNA(VLOOKUP(C23,merchants!$A$1:$D$41,4,0),"Merchant not found")</f>
        <v>East</v>
      </c>
      <c r="M23" s="9">
        <f t="shared" si="1"/>
        <v>0</v>
      </c>
      <c r="N23" s="6" t="str">
        <f>IF(AND(L23&lt;&gt;"East",SUMIFS(merchant_workbook_pivot_table!$D$2:$D$444,merchant_workbook_pivot_table!$C$2:$C$444,E23,merchant_workbook_pivot_table!$B$2:$B$444,J23)&gt;5000),"High-Value Merchant Day",IF(AND(L23&lt;&gt;"East",SUMIFS(merchant_workbook_pivot_table!$D$2:$D$444,merchant_workbook_pivot_table!$C$2:$C$444,E23,merchant_workbook_pivot_table!$B$2:$B$444,J23)&gt;1000),"Mid-Value Merchant Day",""))</f>
        <v/>
      </c>
      <c r="P23" s="22">
        <v>17</v>
      </c>
      <c r="Q23" s="22">
        <v>12738</v>
      </c>
      <c r="R23" s="19">
        <v>12</v>
      </c>
      <c r="S23" s="22"/>
      <c r="T23" s="19"/>
      <c r="U23" s="22">
        <v>299</v>
      </c>
      <c r="V23" s="23">
        <v>1</v>
      </c>
      <c r="X23" s="18" t="s">
        <v>32</v>
      </c>
      <c r="Y23" s="19">
        <v>12</v>
      </c>
      <c r="Z23" s="19">
        <v>14</v>
      </c>
    </row>
    <row r="24">
      <c r="A24" s="3" t="s">
        <v>90</v>
      </c>
      <c r="B24" s="2">
        <v>110</v>
      </c>
      <c r="C24" s="2">
        <v>33</v>
      </c>
      <c r="D24" s="8" t="s">
        <v>645</v>
      </c>
      <c r="E24" s="6" t="str">
        <f t="shared" si="0"/>
        <v>2026-01-15</v>
      </c>
      <c r="F24" s="2">
        <v>799</v>
      </c>
      <c r="G24" s="3" t="s">
        <v>66</v>
      </c>
      <c r="H24" s="3" t="s">
        <v>64</v>
      </c>
      <c r="I24" s="2">
        <v>60</v>
      </c>
      <c r="J24" s="6" t="str">
        <f>_xlfn.IFNA(VLOOKUP(C24,merchants!$A$1:$D$41,2,0),"Merchant not found")</f>
        <v>Merchant_033</v>
      </c>
      <c r="K24" s="6" t="str">
        <f>_xlfn.IFNA(VLOOKUP(C24,merchants!$A$1:$D$41,3,0),"Merchant not found")</f>
        <v>bill_payment</v>
      </c>
      <c r="L24" s="6" t="str">
        <f>_xlfn.IFNA(VLOOKUP(C24,merchants!$A$1:$D$41,4,0),"Merchant not found")</f>
        <v>East</v>
      </c>
      <c r="M24" s="9">
        <f t="shared" si="1"/>
        <v>0</v>
      </c>
      <c r="N24" s="6" t="str">
        <f>IF(AND(L24&lt;&gt;"East",SUMIFS(merchant_workbook_pivot_table!$D$2:$D$444,merchant_workbook_pivot_table!$C$2:$C$444,E24,merchant_workbook_pivot_table!$B$2:$B$444,J24)&gt;5000),"High-Value Merchant Day",IF(AND(L24&lt;&gt;"East",SUMIFS(merchant_workbook_pivot_table!$D$2:$D$444,merchant_workbook_pivot_table!$C$2:$C$444,E24,merchant_workbook_pivot_table!$B$2:$B$444,J24)&gt;1000),"Mid-Value Merchant Day",""))</f>
        <v/>
      </c>
      <c r="P24" s="22">
        <v>18</v>
      </c>
      <c r="Q24" s="22">
        <v>7089</v>
      </c>
      <c r="R24" s="19">
        <v>11</v>
      </c>
      <c r="S24" s="22"/>
      <c r="T24" s="19"/>
      <c r="U24" s="22"/>
      <c r="V24" s="23"/>
      <c r="X24" s="18" t="s">
        <v>33</v>
      </c>
      <c r="Y24" s="19">
        <v>8</v>
      </c>
      <c r="Z24" s="19">
        <v>9</v>
      </c>
    </row>
    <row r="25">
      <c r="A25" s="3" t="s">
        <v>91</v>
      </c>
      <c r="B25" s="2">
        <v>338</v>
      </c>
      <c r="C25" s="2">
        <v>6</v>
      </c>
      <c r="D25" s="8" t="s">
        <v>646</v>
      </c>
      <c r="E25" s="6" t="str">
        <f t="shared" si="0"/>
        <v>2026-01-26</v>
      </c>
      <c r="F25" s="2">
        <v>799</v>
      </c>
      <c r="G25" s="3" t="s">
        <v>66</v>
      </c>
      <c r="H25" s="3" t="s">
        <v>92</v>
      </c>
      <c r="I25" s="2">
        <v>36</v>
      </c>
      <c r="J25" s="6" t="str">
        <f>_xlfn.IFNA(VLOOKUP(C25,merchants!$A$1:$D$41,2,0),"Merchant not found")</f>
        <v>Merchant_006</v>
      </c>
      <c r="K25" s="6" t="str">
        <f>_xlfn.IFNA(VLOOKUP(C25,merchants!$A$1:$D$41,3,0),"Merchant not found")</f>
        <v>food_delivery</v>
      </c>
      <c r="L25" s="6" t="str">
        <f>_xlfn.IFNA(VLOOKUP(C25,merchants!$A$1:$D$41,4,0),"Merchant not found")</f>
        <v>South</v>
      </c>
      <c r="M25" s="9">
        <f t="shared" si="1"/>
        <v>0</v>
      </c>
      <c r="N25" s="6" t="str">
        <f>IF(AND(L25&lt;&gt;"East",SUMIFS(merchant_workbook_pivot_table!$D$2:$D$444,merchant_workbook_pivot_table!$C$2:$C$444,E25,merchant_workbook_pivot_table!$B$2:$B$444,J25)&gt;5000),"High-Value Merchant Day",IF(AND(L25&lt;&gt;"East",SUMIFS(merchant_workbook_pivot_table!$D$2:$D$444,merchant_workbook_pivot_table!$C$2:$C$444,E25,merchant_workbook_pivot_table!$B$2:$B$444,J25)&gt;1000),"Mid-Value Merchant Day",""))</f>
        <v/>
      </c>
      <c r="P25" s="22">
        <v>19</v>
      </c>
      <c r="Q25" s="22">
        <v>7239</v>
      </c>
      <c r="R25" s="19">
        <v>11</v>
      </c>
      <c r="S25" s="22">
        <v>4999</v>
      </c>
      <c r="T25" s="19">
        <v>1</v>
      </c>
      <c r="U25" s="22">
        <v>598</v>
      </c>
      <c r="V25" s="23">
        <v>2</v>
      </c>
      <c r="X25" s="18" t="s">
        <v>34</v>
      </c>
      <c r="Y25" s="19">
        <v>13</v>
      </c>
      <c r="Z25" s="19">
        <v>14</v>
      </c>
    </row>
    <row r="26">
      <c r="A26" s="3" t="s">
        <v>93</v>
      </c>
      <c r="B26" s="2">
        <v>318</v>
      </c>
      <c r="C26" s="2">
        <v>22</v>
      </c>
      <c r="D26" s="8" t="s">
        <v>647</v>
      </c>
      <c r="E26" s="6" t="str">
        <f t="shared" si="0"/>
        <v>2026-01-17</v>
      </c>
      <c r="F26" s="2">
        <v>799</v>
      </c>
      <c r="G26" s="3" t="s">
        <v>63</v>
      </c>
      <c r="H26" s="3" t="s">
        <v>64</v>
      </c>
      <c r="I26" s="2">
        <v>11</v>
      </c>
      <c r="J26" s="6" t="str">
        <f>_xlfn.IFNA(VLOOKUP(C26,merchants!$A$1:$D$41,2,0),"Merchant not found")</f>
        <v>Merchant_022</v>
      </c>
      <c r="K26" s="6" t="str">
        <f>_xlfn.IFNA(VLOOKUP(C26,merchants!$A$1:$D$41,3,0),"Merchant not found")</f>
        <v>travel</v>
      </c>
      <c r="L26" s="6" t="str">
        <f>_xlfn.IFNA(VLOOKUP(C26,merchants!$A$1:$D$41,4,0),"Merchant not found")</f>
        <v>South</v>
      </c>
      <c r="M26" s="9">
        <f t="shared" si="1"/>
        <v>11.984999999999999</v>
      </c>
      <c r="N26" s="6" t="str">
        <f>IF(AND(L26&lt;&gt;"East",SUMIFS(merchant_workbook_pivot_table!$D$2:$D$444,merchant_workbook_pivot_table!$C$2:$C$444,E26,merchant_workbook_pivot_table!$B$2:$B$444,J26)&gt;5000),"High-Value Merchant Day",IF(AND(L26&lt;&gt;"East",SUMIFS(merchant_workbook_pivot_table!$D$2:$D$444,merchant_workbook_pivot_table!$C$2:$C$444,E26,merchant_workbook_pivot_table!$B$2:$B$444,J26)&gt;1000),"Mid-Value Merchant Day",""))</f>
        <v xml:space="preserve">Mid-Value Merchant Day</v>
      </c>
      <c r="P26" s="22">
        <v>20</v>
      </c>
      <c r="Q26" s="22">
        <v>4192</v>
      </c>
      <c r="R26" s="19">
        <v>8</v>
      </c>
      <c r="S26" s="22"/>
      <c r="T26" s="19"/>
      <c r="U26" s="22">
        <v>49</v>
      </c>
      <c r="V26" s="23">
        <v>1</v>
      </c>
      <c r="X26" s="18" t="s">
        <v>35</v>
      </c>
      <c r="Y26" s="19">
        <v>11</v>
      </c>
      <c r="Z26" s="19">
        <v>16</v>
      </c>
    </row>
    <row r="27">
      <c r="A27" s="3" t="s">
        <v>94</v>
      </c>
      <c r="B27" s="2">
        <v>159</v>
      </c>
      <c r="C27" s="2">
        <v>15</v>
      </c>
      <c r="D27" s="8" t="s">
        <v>648</v>
      </c>
      <c r="E27" s="6" t="str">
        <f t="shared" si="0"/>
        <v>2026-01-27</v>
      </c>
      <c r="F27" s="2">
        <v>799</v>
      </c>
      <c r="G27" s="3" t="s">
        <v>66</v>
      </c>
      <c r="H27" s="3" t="s">
        <v>64</v>
      </c>
      <c r="I27" s="2">
        <v>25</v>
      </c>
      <c r="J27" s="6" t="str">
        <f>_xlfn.IFNA(VLOOKUP(C27,merchants!$A$1:$D$41,2,0),"Merchant not found")</f>
        <v>Merchant_015</v>
      </c>
      <c r="K27" s="6" t="str">
        <f>_xlfn.IFNA(VLOOKUP(C27,merchants!$A$1:$D$41,3,0),"Merchant not found")</f>
        <v>travel</v>
      </c>
      <c r="L27" s="6" t="str">
        <f>_xlfn.IFNA(VLOOKUP(C27,merchants!$A$1:$D$41,4,0),"Merchant not found")</f>
        <v>North</v>
      </c>
      <c r="M27" s="9">
        <f t="shared" si="1"/>
        <v>0</v>
      </c>
      <c r="N27" s="6" t="str">
        <f>IF(AND(L27&lt;&gt;"East",SUMIFS(merchant_workbook_pivot_table!$D$2:$D$444,merchant_workbook_pivot_table!$C$2:$C$444,E27,merchant_workbook_pivot_table!$B$2:$B$444,J27)&gt;5000),"High-Value Merchant Day",IF(AND(L27&lt;&gt;"East",SUMIFS(merchant_workbook_pivot_table!$D$2:$D$444,merchant_workbook_pivot_table!$C$2:$C$444,E27,merchant_workbook_pivot_table!$B$2:$B$444,J27)&gt;1000),"Mid-Value Merchant Day",""))</f>
        <v/>
      </c>
      <c r="P27" s="22">
        <v>21</v>
      </c>
      <c r="Q27" s="22">
        <v>3887</v>
      </c>
      <c r="R27" s="19">
        <v>13</v>
      </c>
      <c r="S27" s="22"/>
      <c r="T27" s="19"/>
      <c r="U27" s="22">
        <v>4999</v>
      </c>
      <c r="V27" s="23">
        <v>1</v>
      </c>
      <c r="X27" s="18" t="s">
        <v>36</v>
      </c>
      <c r="Y27" s="19">
        <v>8</v>
      </c>
      <c r="Z27" s="19">
        <v>10</v>
      </c>
    </row>
    <row r="28">
      <c r="A28" s="3" t="s">
        <v>95</v>
      </c>
      <c r="B28" s="2">
        <v>126</v>
      </c>
      <c r="C28" s="2">
        <v>31</v>
      </c>
      <c r="D28" s="8" t="s">
        <v>649</v>
      </c>
      <c r="E28" s="6" t="str">
        <f t="shared" si="0"/>
        <v>2026-01-05</v>
      </c>
      <c r="F28" s="2">
        <v>49</v>
      </c>
      <c r="G28" s="3" t="s">
        <v>78</v>
      </c>
      <c r="H28" s="3" t="s">
        <v>64</v>
      </c>
      <c r="I28" s="2">
        <v>78</v>
      </c>
      <c r="J28" s="6" t="str">
        <f>_xlfn.IFNA(VLOOKUP(C28,merchants!$A$1:$D$41,2,0),"Merchant not found")</f>
        <v>Merchant_031</v>
      </c>
      <c r="K28" s="6" t="str">
        <f>_xlfn.IFNA(VLOOKUP(C28,merchants!$A$1:$D$41,3,0),"Merchant not found")</f>
        <v>bill_payment</v>
      </c>
      <c r="L28" s="6" t="str">
        <f>_xlfn.IFNA(VLOOKUP(C28,merchants!$A$1:$D$41,4,0),"Merchant not found")</f>
        <v>East</v>
      </c>
      <c r="M28" s="9">
        <f t="shared" si="1"/>
        <v>0.97999999999999998</v>
      </c>
      <c r="N28" s="6" t="str">
        <f>IF(AND(L28&lt;&gt;"East",SUMIFS(merchant_workbook_pivot_table!$D$2:$D$444,merchant_workbook_pivot_table!$C$2:$C$444,E28,merchant_workbook_pivot_table!$B$2:$B$444,J28)&gt;5000),"High-Value Merchant Day",IF(AND(L28&lt;&gt;"East",SUMIFS(merchant_workbook_pivot_table!$D$2:$D$444,merchant_workbook_pivot_table!$C$2:$C$444,E28,merchant_workbook_pivot_table!$B$2:$B$444,J28)&gt;1000),"Mid-Value Merchant Day",""))</f>
        <v/>
      </c>
      <c r="P28" s="22">
        <v>22</v>
      </c>
      <c r="Q28" s="22">
        <v>11336</v>
      </c>
      <c r="R28" s="19">
        <v>14</v>
      </c>
      <c r="S28" s="22"/>
      <c r="T28" s="19"/>
      <c r="U28" s="22">
        <v>1198</v>
      </c>
      <c r="V28" s="23">
        <v>2</v>
      </c>
      <c r="X28" s="18" t="s">
        <v>37</v>
      </c>
      <c r="Y28" s="19">
        <v>11</v>
      </c>
      <c r="Z28" s="19">
        <v>13</v>
      </c>
    </row>
    <row r="29">
      <c r="A29" s="3" t="s">
        <v>96</v>
      </c>
      <c r="B29" s="2">
        <v>213</v>
      </c>
      <c r="C29" s="2">
        <v>37</v>
      </c>
      <c r="D29" s="8" t="s">
        <v>650</v>
      </c>
      <c r="E29" s="6" t="str">
        <f t="shared" si="0"/>
        <v>2026-01-28</v>
      </c>
      <c r="F29" s="2">
        <v>99</v>
      </c>
      <c r="G29" s="3" t="s">
        <v>66</v>
      </c>
      <c r="H29" s="3" t="s">
        <v>64</v>
      </c>
      <c r="I29" s="2">
        <v>24</v>
      </c>
      <c r="J29" s="6" t="str">
        <f>_xlfn.IFNA(VLOOKUP(C29,merchants!$A$1:$D$41,2,0),"Merchant not found")</f>
        <v>Merchant_037</v>
      </c>
      <c r="K29" s="6" t="str">
        <f>_xlfn.IFNA(VLOOKUP(C29,merchants!$A$1:$D$41,3,0),"Merchant not found")</f>
        <v>entertainment</v>
      </c>
      <c r="L29" s="6" t="str">
        <f>_xlfn.IFNA(VLOOKUP(C29,merchants!$A$1:$D$41,4,0),"Merchant not found")</f>
        <v>South</v>
      </c>
      <c r="M29" s="9">
        <f t="shared" si="1"/>
        <v>0</v>
      </c>
      <c r="N29" s="6" t="str">
        <f>IF(AND(L29&lt;&gt;"East",SUMIFS(merchant_workbook_pivot_table!$D$2:$D$444,merchant_workbook_pivot_table!$C$2:$C$444,E29,merchant_workbook_pivot_table!$B$2:$B$444,J29)&gt;5000),"High-Value Merchant Day",IF(AND(L29&lt;&gt;"East",SUMIFS(merchant_workbook_pivot_table!$D$2:$D$444,merchant_workbook_pivot_table!$C$2:$C$444,E29,merchant_workbook_pivot_table!$B$2:$B$444,J29)&gt;1000),"Mid-Value Merchant Day",""))</f>
        <v/>
      </c>
      <c r="P29" s="22">
        <v>23</v>
      </c>
      <c r="Q29" s="22">
        <v>1041</v>
      </c>
      <c r="R29" s="19">
        <v>9</v>
      </c>
      <c r="S29" s="22">
        <v>1999</v>
      </c>
      <c r="T29" s="19">
        <v>1</v>
      </c>
      <c r="U29" s="22"/>
      <c r="V29" s="23"/>
      <c r="X29" s="18" t="s">
        <v>38</v>
      </c>
      <c r="Y29" s="19">
        <v>11</v>
      </c>
      <c r="Z29" s="19">
        <v>17</v>
      </c>
    </row>
    <row r="30">
      <c r="A30" s="3" t="s">
        <v>97</v>
      </c>
      <c r="B30" s="2">
        <v>254</v>
      </c>
      <c r="C30" s="2">
        <v>26</v>
      </c>
      <c r="D30" s="8" t="s">
        <v>651</v>
      </c>
      <c r="E30" s="6" t="str">
        <f t="shared" si="0"/>
        <v>2026-01-23</v>
      </c>
      <c r="F30" s="2">
        <v>99</v>
      </c>
      <c r="G30" s="3" t="s">
        <v>63</v>
      </c>
      <c r="H30" s="3" t="s">
        <v>64</v>
      </c>
      <c r="I30" s="2">
        <v>31</v>
      </c>
      <c r="J30" s="6" t="str">
        <f>_xlfn.IFNA(VLOOKUP(C30,merchants!$A$1:$D$41,2,0),"Merchant not found")</f>
        <v>Merchant_026</v>
      </c>
      <c r="K30" s="6" t="str">
        <f>_xlfn.IFNA(VLOOKUP(C30,merchants!$A$1:$D$41,3,0),"Merchant not found")</f>
        <v>food_delivery</v>
      </c>
      <c r="L30" s="6" t="str">
        <f>_xlfn.IFNA(VLOOKUP(C30,merchants!$A$1:$D$41,4,0),"Merchant not found")</f>
        <v>East</v>
      </c>
      <c r="M30" s="9">
        <f t="shared" si="1"/>
        <v>1.4849999999999999</v>
      </c>
      <c r="N30" s="6" t="str">
        <f>IF(AND(L30&lt;&gt;"East",SUMIFS(merchant_workbook_pivot_table!$D$2:$D$444,merchant_workbook_pivot_table!$C$2:$C$444,E30,merchant_workbook_pivot_table!$B$2:$B$444,J30)&gt;5000),"High-Value Merchant Day",IF(AND(L30&lt;&gt;"East",SUMIFS(merchant_workbook_pivot_table!$D$2:$D$444,merchant_workbook_pivot_table!$C$2:$C$444,E30,merchant_workbook_pivot_table!$B$2:$B$444,J30)&gt;1000),"Mid-Value Merchant Day",""))</f>
        <v/>
      </c>
      <c r="P30" s="22">
        <v>24</v>
      </c>
      <c r="Q30" s="22">
        <v>3438</v>
      </c>
      <c r="R30" s="19">
        <v>12</v>
      </c>
      <c r="S30" s="22">
        <v>149</v>
      </c>
      <c r="T30" s="19">
        <v>1</v>
      </c>
      <c r="U30" s="22"/>
      <c r="V30" s="23"/>
      <c r="X30" s="18" t="s">
        <v>39</v>
      </c>
      <c r="Y30" s="19">
        <v>11</v>
      </c>
      <c r="Z30" s="19">
        <v>12</v>
      </c>
    </row>
    <row r="31">
      <c r="A31" s="3" t="s">
        <v>98</v>
      </c>
      <c r="B31" s="2">
        <v>3</v>
      </c>
      <c r="C31" s="2">
        <v>7</v>
      </c>
      <c r="D31" s="8" t="s">
        <v>652</v>
      </c>
      <c r="E31" s="6" t="str">
        <f t="shared" si="0"/>
        <v>2026-01-05</v>
      </c>
      <c r="F31" s="2">
        <v>1499</v>
      </c>
      <c r="G31" s="3" t="s">
        <v>66</v>
      </c>
      <c r="H31" s="3" t="s">
        <v>64</v>
      </c>
      <c r="I31" s="2">
        <v>99</v>
      </c>
      <c r="J31" s="6" t="str">
        <f>_xlfn.IFNA(VLOOKUP(C31,merchants!$A$1:$D$41,2,0),"Merchant not found")</f>
        <v>Merchant_007</v>
      </c>
      <c r="K31" s="6" t="str">
        <f>_xlfn.IFNA(VLOOKUP(C31,merchants!$A$1:$D$41,3,0),"Merchant not found")</f>
        <v>food_delivery</v>
      </c>
      <c r="L31" s="6" t="str">
        <f>_xlfn.IFNA(VLOOKUP(C31,merchants!$A$1:$D$41,4,0),"Merchant not found")</f>
        <v>East</v>
      </c>
      <c r="M31" s="9">
        <f t="shared" si="1"/>
        <v>0</v>
      </c>
      <c r="N31" s="6" t="str">
        <f>IF(AND(L31&lt;&gt;"East",SUMIFS(merchant_workbook_pivot_table!$D$2:$D$444,merchant_workbook_pivot_table!$C$2:$C$444,E31,merchant_workbook_pivot_table!$B$2:$B$444,J31)&gt;5000),"High-Value Merchant Day",IF(AND(L31&lt;&gt;"East",SUMIFS(merchant_workbook_pivot_table!$D$2:$D$444,merchant_workbook_pivot_table!$C$2:$C$444,E31,merchant_workbook_pivot_table!$B$2:$B$444,J31)&gt;1000),"Mid-Value Merchant Day",""))</f>
        <v/>
      </c>
      <c r="P31" s="22">
        <v>25</v>
      </c>
      <c r="Q31" s="22">
        <v>12534</v>
      </c>
      <c r="R31" s="19">
        <v>16</v>
      </c>
      <c r="S31" s="22">
        <v>2999</v>
      </c>
      <c r="T31" s="19">
        <v>1</v>
      </c>
      <c r="U31" s="22"/>
      <c r="V31" s="23"/>
      <c r="X31" s="18" t="s">
        <v>40</v>
      </c>
      <c r="Y31" s="19">
        <v>13</v>
      </c>
      <c r="Z31" s="19">
        <v>16</v>
      </c>
    </row>
    <row r="32">
      <c r="A32" s="3" t="s">
        <v>99</v>
      </c>
      <c r="B32" s="2">
        <v>266</v>
      </c>
      <c r="C32" s="2">
        <v>30</v>
      </c>
      <c r="D32" s="8" t="s">
        <v>653</v>
      </c>
      <c r="E32" s="6" t="str">
        <f t="shared" si="0"/>
        <v>2026-01-14</v>
      </c>
      <c r="F32" s="2">
        <v>499</v>
      </c>
      <c r="G32" s="3" t="s">
        <v>78</v>
      </c>
      <c r="H32" s="3" t="s">
        <v>64</v>
      </c>
      <c r="I32" s="2">
        <v>6</v>
      </c>
      <c r="J32" s="6" t="str">
        <f>_xlfn.IFNA(VLOOKUP(C32,merchants!$A$1:$D$41,2,0),"Merchant not found")</f>
        <v>Merchant_030</v>
      </c>
      <c r="K32" s="6" t="str">
        <f>_xlfn.IFNA(VLOOKUP(C32,merchants!$A$1:$D$41,3,0),"Merchant not found")</f>
        <v>travel</v>
      </c>
      <c r="L32" s="6" t="str">
        <f>_xlfn.IFNA(VLOOKUP(C32,merchants!$A$1:$D$41,4,0),"Merchant not found")</f>
        <v>West</v>
      </c>
      <c r="M32" s="9">
        <f t="shared" si="1"/>
        <v>9.9800000000000004</v>
      </c>
      <c r="N32" s="6" t="str">
        <f>IF(AND(L32&lt;&gt;"East",SUMIFS(merchant_workbook_pivot_table!$D$2:$D$444,merchant_workbook_pivot_table!$C$2:$C$444,E32,merchant_workbook_pivot_table!$B$2:$B$444,J32)&gt;5000),"High-Value Merchant Day",IF(AND(L32&lt;&gt;"East",SUMIFS(merchant_workbook_pivot_table!$D$2:$D$444,merchant_workbook_pivot_table!$C$2:$C$444,E32,merchant_workbook_pivot_table!$B$2:$B$444,J32)&gt;1000),"Mid-Value Merchant Day",""))</f>
        <v xml:space="preserve">Mid-Value Merchant Day</v>
      </c>
      <c r="P32" s="22">
        <v>26</v>
      </c>
      <c r="Q32" s="22">
        <v>2991</v>
      </c>
      <c r="R32" s="19">
        <v>9</v>
      </c>
      <c r="S32" s="22"/>
      <c r="T32" s="19"/>
      <c r="U32" s="22">
        <v>2197</v>
      </c>
      <c r="V32" s="23">
        <v>3</v>
      </c>
      <c r="X32" s="18" t="s">
        <v>41</v>
      </c>
      <c r="Y32" s="19">
        <v>10</v>
      </c>
      <c r="Z32" s="19">
        <v>10</v>
      </c>
    </row>
    <row r="33">
      <c r="A33" s="3" t="s">
        <v>100</v>
      </c>
      <c r="B33" s="2">
        <v>63</v>
      </c>
      <c r="C33" s="2">
        <v>30</v>
      </c>
      <c r="D33" s="8" t="s">
        <v>654</v>
      </c>
      <c r="E33" s="6" t="str">
        <f t="shared" si="0"/>
        <v>2026-01-18</v>
      </c>
      <c r="F33" s="2">
        <v>799</v>
      </c>
      <c r="G33" s="3" t="s">
        <v>66</v>
      </c>
      <c r="H33" s="3" t="s">
        <v>64</v>
      </c>
      <c r="I33" s="2">
        <v>17</v>
      </c>
      <c r="J33" s="6" t="str">
        <f>_xlfn.IFNA(VLOOKUP(C33,merchants!$A$1:$D$41,2,0),"Merchant not found")</f>
        <v>Merchant_030</v>
      </c>
      <c r="K33" s="6" t="str">
        <f>_xlfn.IFNA(VLOOKUP(C33,merchants!$A$1:$D$41,3,0),"Merchant not found")</f>
        <v>travel</v>
      </c>
      <c r="L33" s="6" t="str">
        <f>_xlfn.IFNA(VLOOKUP(C33,merchants!$A$1:$D$41,4,0),"Merchant not found")</f>
        <v>West</v>
      </c>
      <c r="M33" s="9">
        <f t="shared" si="1"/>
        <v>0</v>
      </c>
      <c r="N33" s="6" t="str">
        <f>IF(AND(L33&lt;&gt;"East",SUMIFS(merchant_workbook_pivot_table!$D$2:$D$444,merchant_workbook_pivot_table!$C$2:$C$444,E33,merchant_workbook_pivot_table!$B$2:$B$444,J33)&gt;5000),"High-Value Merchant Day",IF(AND(L33&lt;&gt;"East",SUMIFS(merchant_workbook_pivot_table!$D$2:$D$444,merchant_workbook_pivot_table!$C$2:$C$444,E33,merchant_workbook_pivot_table!$B$2:$B$444,J33)&gt;1000),"Mid-Value Merchant Day",""))</f>
        <v/>
      </c>
      <c r="P33" s="22">
        <v>27</v>
      </c>
      <c r="Q33" s="22">
        <v>8038</v>
      </c>
      <c r="R33" s="19">
        <v>12</v>
      </c>
      <c r="S33" s="22">
        <v>4047</v>
      </c>
      <c r="T33" s="19">
        <v>3</v>
      </c>
      <c r="U33" s="22">
        <v>1499</v>
      </c>
      <c r="V33" s="23">
        <v>1</v>
      </c>
      <c r="X33" s="18" t="s">
        <v>42</v>
      </c>
      <c r="Y33" s="19">
        <v>13</v>
      </c>
      <c r="Z33" s="19">
        <v>19</v>
      </c>
    </row>
    <row r="34">
      <c r="A34" s="3" t="s">
        <v>101</v>
      </c>
      <c r="B34" s="2">
        <v>272</v>
      </c>
      <c r="C34" s="2">
        <v>36</v>
      </c>
      <c r="D34" s="8" t="s">
        <v>655</v>
      </c>
      <c r="E34" s="6" t="str">
        <f t="shared" si="0"/>
        <v>2026-01-26</v>
      </c>
      <c r="F34" s="2">
        <v>149</v>
      </c>
      <c r="G34" s="3" t="s">
        <v>66</v>
      </c>
      <c r="H34" s="3" t="s">
        <v>64</v>
      </c>
      <c r="I34" s="2">
        <v>76</v>
      </c>
      <c r="J34" s="6" t="str">
        <f>_xlfn.IFNA(VLOOKUP(C34,merchants!$A$1:$D$41,2,0),"Merchant not found")</f>
        <v>Merchant_036</v>
      </c>
      <c r="K34" s="6" t="str">
        <f>_xlfn.IFNA(VLOOKUP(C34,merchants!$A$1:$D$41,3,0),"Merchant not found")</f>
        <v>entertainment</v>
      </c>
      <c r="L34" s="6" t="str">
        <f>_xlfn.IFNA(VLOOKUP(C34,merchants!$A$1:$D$41,4,0),"Merchant not found")</f>
        <v>East</v>
      </c>
      <c r="M34" s="9">
        <f t="shared" si="1"/>
        <v>0</v>
      </c>
      <c r="N34" s="6" t="str">
        <f>IF(AND(L34&lt;&gt;"East",SUMIFS(merchant_workbook_pivot_table!$D$2:$D$444,merchant_workbook_pivot_table!$C$2:$C$444,E34,merchant_workbook_pivot_table!$B$2:$B$444,J34)&gt;5000),"High-Value Merchant Day",IF(AND(L34&lt;&gt;"East",SUMIFS(merchant_workbook_pivot_table!$D$2:$D$444,merchant_workbook_pivot_table!$C$2:$C$444,E34,merchant_workbook_pivot_table!$B$2:$B$444,J34)&gt;1000),"Mid-Value Merchant Day",""))</f>
        <v/>
      </c>
      <c r="P34" s="22">
        <v>28</v>
      </c>
      <c r="Q34" s="22">
        <v>4493</v>
      </c>
      <c r="R34" s="19">
        <v>7</v>
      </c>
      <c r="S34" s="22">
        <v>1999</v>
      </c>
      <c r="T34" s="19">
        <v>1</v>
      </c>
      <c r="U34" s="22">
        <v>3048</v>
      </c>
      <c r="V34" s="23">
        <v>2</v>
      </c>
      <c r="X34" s="18" t="s">
        <v>43</v>
      </c>
      <c r="Y34" s="19">
        <v>13</v>
      </c>
      <c r="Z34" s="19">
        <v>17</v>
      </c>
    </row>
    <row r="35">
      <c r="A35" s="3" t="s">
        <v>102</v>
      </c>
      <c r="B35" s="2">
        <v>259</v>
      </c>
      <c r="C35" s="2">
        <v>28</v>
      </c>
      <c r="D35" s="8" t="s">
        <v>656</v>
      </c>
      <c r="E35" s="6" t="str">
        <f t="shared" si="0"/>
        <v>2026-01-11</v>
      </c>
      <c r="F35" s="2">
        <v>49</v>
      </c>
      <c r="G35" s="3" t="s">
        <v>63</v>
      </c>
      <c r="H35" s="3" t="s">
        <v>64</v>
      </c>
      <c r="I35" s="2">
        <v>70</v>
      </c>
      <c r="J35" s="6" t="str">
        <f>_xlfn.IFNA(VLOOKUP(C35,merchants!$A$1:$D$41,2,0),"Merchant not found")</f>
        <v>Merchant_028</v>
      </c>
      <c r="K35" s="6" t="str">
        <f>_xlfn.IFNA(VLOOKUP(C35,merchants!$A$1:$D$41,3,0),"Merchant not found")</f>
        <v>ecommerce</v>
      </c>
      <c r="L35" s="6" t="str">
        <f>_xlfn.IFNA(VLOOKUP(C35,merchants!$A$1:$D$41,4,0),"Merchant not found")</f>
        <v>South</v>
      </c>
      <c r="M35" s="9">
        <f t="shared" si="1"/>
        <v>0.73499999999999999</v>
      </c>
      <c r="N35" s="6" t="str">
        <f>IF(AND(L35&lt;&gt;"East",SUMIFS(merchant_workbook_pivot_table!$D$2:$D$444,merchant_workbook_pivot_table!$C$2:$C$444,E35,merchant_workbook_pivot_table!$B$2:$B$444,J35)&gt;5000),"High-Value Merchant Day",IF(AND(L35&lt;&gt;"East",SUMIFS(merchant_workbook_pivot_table!$D$2:$D$444,merchant_workbook_pivot_table!$C$2:$C$444,E35,merchant_workbook_pivot_table!$B$2:$B$444,J35)&gt;1000),"Mid-Value Merchant Day",""))</f>
        <v/>
      </c>
      <c r="P35" s="22">
        <v>29</v>
      </c>
      <c r="Q35" s="22">
        <v>5686</v>
      </c>
      <c r="R35" s="19">
        <v>14</v>
      </c>
      <c r="S35" s="22">
        <v>3897</v>
      </c>
      <c r="T35" s="19">
        <v>3</v>
      </c>
      <c r="U35" s="22">
        <v>3498</v>
      </c>
      <c r="V35" s="23">
        <v>2</v>
      </c>
      <c r="X35" s="18" t="s">
        <v>44</v>
      </c>
      <c r="Y35" s="19">
        <v>14</v>
      </c>
      <c r="Z35" s="19">
        <v>15</v>
      </c>
    </row>
    <row r="36">
      <c r="A36" s="3" t="s">
        <v>103</v>
      </c>
      <c r="B36" s="2">
        <v>244</v>
      </c>
      <c r="C36" s="2">
        <v>29</v>
      </c>
      <c r="D36" s="8" t="s">
        <v>657</v>
      </c>
      <c r="E36" s="6" t="str">
        <f t="shared" si="0"/>
        <v>2026-01-15</v>
      </c>
      <c r="F36" s="2">
        <v>299</v>
      </c>
      <c r="G36" s="3" t="s">
        <v>69</v>
      </c>
      <c r="H36" s="3" t="s">
        <v>64</v>
      </c>
      <c r="I36" s="2">
        <v>33</v>
      </c>
      <c r="J36" s="6" t="str">
        <f>_xlfn.IFNA(VLOOKUP(C36,merchants!$A$1:$D$41,2,0),"Merchant not found")</f>
        <v>Merchant_029</v>
      </c>
      <c r="K36" s="6" t="str">
        <f>_xlfn.IFNA(VLOOKUP(C36,merchants!$A$1:$D$41,3,0),"Merchant not found")</f>
        <v>ecommerce</v>
      </c>
      <c r="L36" s="6" t="str">
        <f>_xlfn.IFNA(VLOOKUP(C36,merchants!$A$1:$D$41,4,0),"Merchant not found")</f>
        <v>North</v>
      </c>
      <c r="M36" s="9">
        <f t="shared" si="1"/>
        <v>2.9900000000000002</v>
      </c>
      <c r="N36" s="6" t="str">
        <f>IF(AND(L36&lt;&gt;"East",SUMIFS(merchant_workbook_pivot_table!$D$2:$D$444,merchant_workbook_pivot_table!$C$2:$C$444,E36,merchant_workbook_pivot_table!$B$2:$B$444,J36)&gt;5000),"High-Value Merchant Day",IF(AND(L36&lt;&gt;"East",SUMIFS(merchant_workbook_pivot_table!$D$2:$D$444,merchant_workbook_pivot_table!$C$2:$C$444,E36,merchant_workbook_pivot_table!$B$2:$B$444,J36)&gt;1000),"Mid-Value Merchant Day",""))</f>
        <v xml:space="preserve">Mid-Value Merchant Day</v>
      </c>
      <c r="P36" s="22">
        <v>30</v>
      </c>
      <c r="Q36" s="22">
        <v>7384</v>
      </c>
      <c r="R36" s="19">
        <v>16</v>
      </c>
      <c r="S36" s="22"/>
      <c r="T36" s="19"/>
      <c r="U36" s="22">
        <v>499</v>
      </c>
      <c r="V36" s="23">
        <v>1</v>
      </c>
      <c r="X36" s="18" t="s">
        <v>45</v>
      </c>
      <c r="Y36" s="19">
        <v>12</v>
      </c>
      <c r="Z36" s="19">
        <v>14</v>
      </c>
    </row>
    <row r="37">
      <c r="A37" s="3" t="s">
        <v>104</v>
      </c>
      <c r="B37" s="2">
        <v>327</v>
      </c>
      <c r="C37" s="2">
        <v>18</v>
      </c>
      <c r="D37" s="8" t="s">
        <v>658</v>
      </c>
      <c r="E37" s="6" t="str">
        <f t="shared" si="0"/>
        <v>2026-01-25</v>
      </c>
      <c r="F37" s="2">
        <v>149</v>
      </c>
      <c r="G37" s="3" t="s">
        <v>78</v>
      </c>
      <c r="H37" s="3" t="s">
        <v>64</v>
      </c>
      <c r="I37" s="2">
        <v>98</v>
      </c>
      <c r="J37" s="6" t="str">
        <f>_xlfn.IFNA(VLOOKUP(C37,merchants!$A$1:$D$41,2,0),"Merchant not found")</f>
        <v>Merchant_018</v>
      </c>
      <c r="K37" s="6" t="str">
        <f>_xlfn.IFNA(VLOOKUP(C37,merchants!$A$1:$D$41,3,0),"Merchant not found")</f>
        <v>grocery</v>
      </c>
      <c r="L37" s="6" t="str">
        <f>_xlfn.IFNA(VLOOKUP(C37,merchants!$A$1:$D$41,4,0),"Merchant not found")</f>
        <v>West</v>
      </c>
      <c r="M37" s="9">
        <f t="shared" si="1"/>
        <v>2.98</v>
      </c>
      <c r="N37" s="6" t="str">
        <f>IF(AND(L37&lt;&gt;"East",SUMIFS(merchant_workbook_pivot_table!$D$2:$D$444,merchant_workbook_pivot_table!$C$2:$C$444,E37,merchant_workbook_pivot_table!$B$2:$B$444,J37)&gt;5000),"High-Value Merchant Day",IF(AND(L37&lt;&gt;"East",SUMIFS(merchant_workbook_pivot_table!$D$2:$D$444,merchant_workbook_pivot_table!$C$2:$C$444,E37,merchant_workbook_pivot_table!$B$2:$B$444,J37)&gt;1000),"Mid-Value Merchant Day",""))</f>
        <v xml:space="preserve">Mid-Value Merchant Day</v>
      </c>
      <c r="P37" s="22">
        <v>31</v>
      </c>
      <c r="Q37" s="22">
        <v>2640</v>
      </c>
      <c r="R37" s="19">
        <v>10</v>
      </c>
      <c r="S37" s="22">
        <v>49</v>
      </c>
      <c r="T37" s="19">
        <v>1</v>
      </c>
      <c r="U37" s="22">
        <v>2146</v>
      </c>
      <c r="V37" s="23">
        <v>4</v>
      </c>
      <c r="X37" s="18" t="s">
        <v>46</v>
      </c>
      <c r="Y37" s="19">
        <v>10</v>
      </c>
      <c r="Z37" s="19">
        <v>11</v>
      </c>
    </row>
    <row r="38">
      <c r="A38" s="3" t="s">
        <v>105</v>
      </c>
      <c r="B38" s="2">
        <v>321</v>
      </c>
      <c r="C38" s="2">
        <v>16</v>
      </c>
      <c r="D38" s="8" t="s">
        <v>659</v>
      </c>
      <c r="E38" s="6" t="str">
        <f t="shared" si="0"/>
        <v>2026-01-25</v>
      </c>
      <c r="F38" s="2">
        <v>49</v>
      </c>
      <c r="G38" s="3" t="s">
        <v>66</v>
      </c>
      <c r="H38" s="3" t="s">
        <v>64</v>
      </c>
      <c r="I38" s="2">
        <v>35</v>
      </c>
      <c r="J38" s="6" t="str">
        <f>_xlfn.IFNA(VLOOKUP(C38,merchants!$A$1:$D$41,2,0),"Merchant not found")</f>
        <v>Merchant_016</v>
      </c>
      <c r="K38" s="6" t="str">
        <f>_xlfn.IFNA(VLOOKUP(C38,merchants!$A$1:$D$41,3,0),"Merchant not found")</f>
        <v>bill_payment</v>
      </c>
      <c r="L38" s="6" t="str">
        <f>_xlfn.IFNA(VLOOKUP(C38,merchants!$A$1:$D$41,4,0),"Merchant not found")</f>
        <v>West</v>
      </c>
      <c r="M38" s="9">
        <f t="shared" si="1"/>
        <v>0</v>
      </c>
      <c r="N38" s="6" t="str">
        <f>IF(AND(L38&lt;&gt;"East",SUMIFS(merchant_workbook_pivot_table!$D$2:$D$444,merchant_workbook_pivot_table!$C$2:$C$444,E38,merchant_workbook_pivot_table!$B$2:$B$444,J38)&gt;5000),"High-Value Merchant Day",IF(AND(L38&lt;&gt;"East",SUMIFS(merchant_workbook_pivot_table!$D$2:$D$444,merchant_workbook_pivot_table!$C$2:$C$444,E38,merchant_workbook_pivot_table!$B$2:$B$444,J38)&gt;1000),"Mid-Value Merchant Day",""))</f>
        <v/>
      </c>
      <c r="P38" s="22">
        <v>32</v>
      </c>
      <c r="Q38" s="22">
        <v>2589</v>
      </c>
      <c r="R38" s="19">
        <v>11</v>
      </c>
      <c r="S38" s="22">
        <v>1999</v>
      </c>
      <c r="T38" s="19">
        <v>1</v>
      </c>
      <c r="U38" s="22">
        <v>3498</v>
      </c>
      <c r="V38" s="23">
        <v>2</v>
      </c>
      <c r="X38" s="18" t="s">
        <v>47</v>
      </c>
      <c r="Y38" s="19">
        <v>12</v>
      </c>
      <c r="Z38" s="19">
        <v>16</v>
      </c>
    </row>
    <row r="39">
      <c r="A39" s="3" t="s">
        <v>106</v>
      </c>
      <c r="B39" s="2">
        <v>147</v>
      </c>
      <c r="C39" s="2">
        <v>16</v>
      </c>
      <c r="D39" s="8" t="s">
        <v>660</v>
      </c>
      <c r="E39" s="6" t="str">
        <f t="shared" si="0"/>
        <v>2026-01-15</v>
      </c>
      <c r="F39" s="2">
        <v>2999</v>
      </c>
      <c r="G39" s="3" t="s">
        <v>78</v>
      </c>
      <c r="H39" s="3" t="s">
        <v>64</v>
      </c>
      <c r="I39" s="2">
        <v>34</v>
      </c>
      <c r="J39" s="6" t="str">
        <f>_xlfn.IFNA(VLOOKUP(C39,merchants!$A$1:$D$41,2,0),"Merchant not found")</f>
        <v>Merchant_016</v>
      </c>
      <c r="K39" s="6" t="str">
        <f>_xlfn.IFNA(VLOOKUP(C39,merchants!$A$1:$D$41,3,0),"Merchant not found")</f>
        <v>bill_payment</v>
      </c>
      <c r="L39" s="6" t="str">
        <f>_xlfn.IFNA(VLOOKUP(C39,merchants!$A$1:$D$41,4,0),"Merchant not found")</f>
        <v>West</v>
      </c>
      <c r="M39" s="9">
        <f t="shared" si="1"/>
        <v>59.980000000000004</v>
      </c>
      <c r="N39" s="6" t="str">
        <f>IF(AND(L39&lt;&gt;"East",SUMIFS(merchant_workbook_pivot_table!$D$2:$D$444,merchant_workbook_pivot_table!$C$2:$C$444,E39,merchant_workbook_pivot_table!$B$2:$B$444,J39)&gt;5000),"High-Value Merchant Day",IF(AND(L39&lt;&gt;"East",SUMIFS(merchant_workbook_pivot_table!$D$2:$D$444,merchant_workbook_pivot_table!$C$2:$C$444,E39,merchant_workbook_pivot_table!$B$2:$B$444,J39)&gt;1000),"Mid-Value Merchant Day",""))</f>
        <v xml:space="preserve">Mid-Value Merchant Day</v>
      </c>
      <c r="P39" s="22">
        <v>33</v>
      </c>
      <c r="Q39" s="22">
        <v>10190</v>
      </c>
      <c r="R39" s="19">
        <v>10</v>
      </c>
      <c r="S39" s="22"/>
      <c r="T39" s="19"/>
      <c r="U39" s="22">
        <v>149</v>
      </c>
      <c r="V39" s="23">
        <v>1</v>
      </c>
      <c r="X39" s="18" t="s">
        <v>48</v>
      </c>
      <c r="Y39" s="19">
        <v>11</v>
      </c>
      <c r="Z39" s="19">
        <v>14</v>
      </c>
    </row>
    <row r="40">
      <c r="A40" s="3" t="s">
        <v>107</v>
      </c>
      <c r="B40" s="2">
        <v>277</v>
      </c>
      <c r="C40" s="2">
        <v>6</v>
      </c>
      <c r="D40" s="8" t="s">
        <v>661</v>
      </c>
      <c r="E40" s="6" t="str">
        <f t="shared" si="0"/>
        <v>2026-01-11</v>
      </c>
      <c r="F40" s="2">
        <v>1499</v>
      </c>
      <c r="G40" s="3" t="s">
        <v>78</v>
      </c>
      <c r="H40" s="3" t="s">
        <v>64</v>
      </c>
      <c r="I40" s="2">
        <v>17</v>
      </c>
      <c r="J40" s="6" t="str">
        <f>_xlfn.IFNA(VLOOKUP(C40,merchants!$A$1:$D$41,2,0),"Merchant not found")</f>
        <v>Merchant_006</v>
      </c>
      <c r="K40" s="6" t="str">
        <f>_xlfn.IFNA(VLOOKUP(C40,merchants!$A$1:$D$41,3,0),"Merchant not found")</f>
        <v>food_delivery</v>
      </c>
      <c r="L40" s="6" t="str">
        <f>_xlfn.IFNA(VLOOKUP(C40,merchants!$A$1:$D$41,4,0),"Merchant not found")</f>
        <v>South</v>
      </c>
      <c r="M40" s="9">
        <f t="shared" si="1"/>
        <v>29.98</v>
      </c>
      <c r="N40" s="6" t="str">
        <f>IF(AND(L40&lt;&gt;"East",SUMIFS(merchant_workbook_pivot_table!$D$2:$D$444,merchant_workbook_pivot_table!$C$2:$C$444,E40,merchant_workbook_pivot_table!$B$2:$B$444,J40)&gt;5000),"High-Value Merchant Day",IF(AND(L40&lt;&gt;"East",SUMIFS(merchant_workbook_pivot_table!$D$2:$D$444,merchant_workbook_pivot_table!$C$2:$C$444,E40,merchant_workbook_pivot_table!$B$2:$B$444,J40)&gt;1000),"Mid-Value Merchant Day",""))</f>
        <v xml:space="preserve">Mid-Value Merchant Day</v>
      </c>
      <c r="P40" s="22">
        <v>34</v>
      </c>
      <c r="Q40" s="22">
        <v>9635</v>
      </c>
      <c r="R40" s="19">
        <v>15</v>
      </c>
      <c r="S40" s="22"/>
      <c r="T40" s="19"/>
      <c r="U40" s="22">
        <v>399</v>
      </c>
      <c r="V40" s="23">
        <v>1</v>
      </c>
      <c r="X40" s="18" t="s">
        <v>49</v>
      </c>
      <c r="Y40" s="19">
        <v>12</v>
      </c>
      <c r="Z40" s="19">
        <v>16</v>
      </c>
    </row>
    <row r="41">
      <c r="A41" s="3" t="s">
        <v>108</v>
      </c>
      <c r="B41" s="2">
        <v>79</v>
      </c>
      <c r="C41" s="2">
        <v>14</v>
      </c>
      <c r="D41" s="8" t="s">
        <v>662</v>
      </c>
      <c r="E41" s="6" t="str">
        <f t="shared" si="0"/>
        <v>2026-01-05</v>
      </c>
      <c r="F41" s="2">
        <v>1499</v>
      </c>
      <c r="G41" s="3" t="s">
        <v>66</v>
      </c>
      <c r="H41" s="3" t="s">
        <v>64</v>
      </c>
      <c r="I41" s="2">
        <v>8</v>
      </c>
      <c r="J41" s="6" t="str">
        <f>_xlfn.IFNA(VLOOKUP(C41,merchants!$A$1:$D$41,2,0),"Merchant not found")</f>
        <v>Merchant_014</v>
      </c>
      <c r="K41" s="6" t="str">
        <f>_xlfn.IFNA(VLOOKUP(C41,merchants!$A$1:$D$41,3,0),"Merchant not found")</f>
        <v>grocery</v>
      </c>
      <c r="L41" s="6" t="str">
        <f>_xlfn.IFNA(VLOOKUP(C41,merchants!$A$1:$D$41,4,0),"Merchant not found")</f>
        <v>East</v>
      </c>
      <c r="M41" s="9">
        <f t="shared" si="1"/>
        <v>0</v>
      </c>
      <c r="N41" s="6" t="str">
        <f>IF(AND(L41&lt;&gt;"East",SUMIFS(merchant_workbook_pivot_table!$D$2:$D$444,merchant_workbook_pivot_table!$C$2:$C$444,E41,merchant_workbook_pivot_table!$B$2:$B$444,J41)&gt;5000),"High-Value Merchant Day",IF(AND(L41&lt;&gt;"East",SUMIFS(merchant_workbook_pivot_table!$D$2:$D$444,merchant_workbook_pivot_table!$C$2:$C$444,E41,merchant_workbook_pivot_table!$B$2:$B$444,J41)&gt;1000),"Mid-Value Merchant Day",""))</f>
        <v/>
      </c>
      <c r="P41" s="22">
        <v>35</v>
      </c>
      <c r="Q41" s="22">
        <v>8688</v>
      </c>
      <c r="R41" s="19">
        <v>12</v>
      </c>
      <c r="S41" s="22"/>
      <c r="T41" s="19"/>
      <c r="U41" s="22">
        <v>598</v>
      </c>
      <c r="V41" s="23">
        <v>2</v>
      </c>
      <c r="X41" s="18" t="s">
        <v>51</v>
      </c>
      <c r="Y41" s="19">
        <v>16</v>
      </c>
      <c r="Z41" s="19">
        <v>19</v>
      </c>
    </row>
    <row r="42">
      <c r="A42" s="3" t="s">
        <v>109</v>
      </c>
      <c r="B42" s="2">
        <v>278</v>
      </c>
      <c r="C42" s="2">
        <v>30</v>
      </c>
      <c r="D42" s="8" t="s">
        <v>663</v>
      </c>
      <c r="E42" s="6" t="str">
        <f t="shared" si="0"/>
        <v>2026-01-14</v>
      </c>
      <c r="F42" s="2">
        <v>1499</v>
      </c>
      <c r="G42" s="3" t="s">
        <v>66</v>
      </c>
      <c r="H42" s="3" t="s">
        <v>64</v>
      </c>
      <c r="I42" s="2">
        <v>53</v>
      </c>
      <c r="J42" s="6" t="str">
        <f>_xlfn.IFNA(VLOOKUP(C42,merchants!$A$1:$D$41,2,0),"Merchant not found")</f>
        <v>Merchant_030</v>
      </c>
      <c r="K42" s="6" t="str">
        <f>_xlfn.IFNA(VLOOKUP(C42,merchants!$A$1:$D$41,3,0),"Merchant not found")</f>
        <v>travel</v>
      </c>
      <c r="L42" s="6" t="str">
        <f>_xlfn.IFNA(VLOOKUP(C42,merchants!$A$1:$D$41,4,0),"Merchant not found")</f>
        <v>West</v>
      </c>
      <c r="M42" s="9">
        <f t="shared" si="1"/>
        <v>0</v>
      </c>
      <c r="N42" s="6" t="str">
        <f>IF(AND(L42&lt;&gt;"East",SUMIFS(merchant_workbook_pivot_table!$D$2:$D$444,merchant_workbook_pivot_table!$C$2:$C$444,E42,merchant_workbook_pivot_table!$B$2:$B$444,J42)&gt;5000),"High-Value Merchant Day",IF(AND(L42&lt;&gt;"East",SUMIFS(merchant_workbook_pivot_table!$D$2:$D$444,merchant_workbook_pivot_table!$C$2:$C$444,E42,merchant_workbook_pivot_table!$B$2:$B$444,J42)&gt;1000),"Mid-Value Merchant Day",""))</f>
        <v xml:space="preserve">Mid-Value Merchant Day</v>
      </c>
      <c r="P42" s="22">
        <v>36</v>
      </c>
      <c r="Q42" s="22">
        <v>11535</v>
      </c>
      <c r="R42" s="19">
        <v>15</v>
      </c>
      <c r="S42" s="22">
        <v>999</v>
      </c>
      <c r="T42" s="19">
        <v>1</v>
      </c>
      <c r="U42" s="22"/>
      <c r="V42" s="23"/>
      <c r="X42" s="18" t="s">
        <v>52</v>
      </c>
      <c r="Y42" s="19">
        <v>8</v>
      </c>
      <c r="Z42" s="19">
        <v>10</v>
      </c>
    </row>
    <row r="43">
      <c r="A43" s="3" t="s">
        <v>110</v>
      </c>
      <c r="B43" s="2">
        <v>216</v>
      </c>
      <c r="C43" s="2">
        <v>25</v>
      </c>
      <c r="D43" s="8" t="s">
        <v>664</v>
      </c>
      <c r="E43" s="6" t="str">
        <f t="shared" si="0"/>
        <v>2026-01-02</v>
      </c>
      <c r="F43" s="2">
        <v>99</v>
      </c>
      <c r="G43" s="3" t="s">
        <v>66</v>
      </c>
      <c r="H43" s="3" t="s">
        <v>64</v>
      </c>
      <c r="I43" s="2">
        <v>98</v>
      </c>
      <c r="J43" s="6" t="str">
        <f>_xlfn.IFNA(VLOOKUP(C43,merchants!$A$1:$D$41,2,0),"Merchant not found")</f>
        <v>Merchant_025</v>
      </c>
      <c r="K43" s="6" t="str">
        <f>_xlfn.IFNA(VLOOKUP(C43,merchants!$A$1:$D$41,3,0),"Merchant not found")</f>
        <v>travel</v>
      </c>
      <c r="L43" s="6" t="str">
        <f>_xlfn.IFNA(VLOOKUP(C43,merchants!$A$1:$D$41,4,0),"Merchant not found")</f>
        <v>South</v>
      </c>
      <c r="M43" s="9">
        <f t="shared" si="1"/>
        <v>0</v>
      </c>
      <c r="N43" s="6" t="str">
        <f>IF(AND(L43&lt;&gt;"East",SUMIFS(merchant_workbook_pivot_table!$D$2:$D$444,merchant_workbook_pivot_table!$C$2:$C$444,E43,merchant_workbook_pivot_table!$B$2:$B$444,J43)&gt;5000),"High-Value Merchant Day",IF(AND(L43&lt;&gt;"East",SUMIFS(merchant_workbook_pivot_table!$D$2:$D$444,merchant_workbook_pivot_table!$C$2:$C$444,E43,merchant_workbook_pivot_table!$B$2:$B$444,J43)&gt;1000),"Mid-Value Merchant Day",""))</f>
        <v/>
      </c>
      <c r="P43" s="22">
        <v>37</v>
      </c>
      <c r="Q43" s="22">
        <v>10833</v>
      </c>
      <c r="R43" s="19">
        <v>17</v>
      </c>
      <c r="S43" s="22">
        <v>1999</v>
      </c>
      <c r="T43" s="19">
        <v>1</v>
      </c>
      <c r="U43" s="22">
        <v>99</v>
      </c>
      <c r="V43" s="23">
        <v>1</v>
      </c>
      <c r="X43" s="18" t="s">
        <v>53</v>
      </c>
      <c r="Y43" s="19">
        <v>10</v>
      </c>
      <c r="Z43" s="19">
        <v>13</v>
      </c>
    </row>
    <row r="44">
      <c r="A44" s="3" t="s">
        <v>111</v>
      </c>
      <c r="B44" s="2">
        <v>295</v>
      </c>
      <c r="C44" s="2">
        <v>25</v>
      </c>
      <c r="D44" s="8" t="s">
        <v>665</v>
      </c>
      <c r="E44" s="6" t="str">
        <f t="shared" si="0"/>
        <v>2026-01-19</v>
      </c>
      <c r="F44" s="2">
        <v>1499</v>
      </c>
      <c r="G44" s="3" t="s">
        <v>66</v>
      </c>
      <c r="H44" s="3" t="s">
        <v>64</v>
      </c>
      <c r="I44" s="2">
        <v>61</v>
      </c>
      <c r="J44" s="6" t="str">
        <f>_xlfn.IFNA(VLOOKUP(C44,merchants!$A$1:$D$41,2,0),"Merchant not found")</f>
        <v>Merchant_025</v>
      </c>
      <c r="K44" s="6" t="str">
        <f>_xlfn.IFNA(VLOOKUP(C44,merchants!$A$1:$D$41,3,0),"Merchant not found")</f>
        <v>travel</v>
      </c>
      <c r="L44" s="6" t="str">
        <f>_xlfn.IFNA(VLOOKUP(C44,merchants!$A$1:$D$41,4,0),"Merchant not found")</f>
        <v>South</v>
      </c>
      <c r="M44" s="9">
        <f t="shared" si="1"/>
        <v>0</v>
      </c>
      <c r="N44" s="6" t="str">
        <f>IF(AND(L44&lt;&gt;"East",SUMIFS(merchant_workbook_pivot_table!$D$2:$D$444,merchant_workbook_pivot_table!$C$2:$C$444,E44,merchant_workbook_pivot_table!$B$2:$B$444,J44)&gt;5000),"High-Value Merchant Day",IF(AND(L44&lt;&gt;"East",SUMIFS(merchant_workbook_pivot_table!$D$2:$D$444,merchant_workbook_pivot_table!$C$2:$C$444,E44,merchant_workbook_pivot_table!$B$2:$B$444,J44)&gt;1000),"Mid-Value Merchant Day",""))</f>
        <v xml:space="preserve">Mid-Value Merchant Day</v>
      </c>
      <c r="P44" s="22">
        <v>38</v>
      </c>
      <c r="Q44" s="22">
        <v>3342</v>
      </c>
      <c r="R44" s="19">
        <v>8</v>
      </c>
      <c r="S44" s="22"/>
      <c r="T44" s="19"/>
      <c r="U44" s="22">
        <v>598</v>
      </c>
      <c r="V44" s="23">
        <v>2</v>
      </c>
      <c r="X44" s="18" t="s">
        <v>54</v>
      </c>
      <c r="Y44" s="19">
        <v>13</v>
      </c>
      <c r="Z44" s="19">
        <v>15</v>
      </c>
    </row>
    <row r="45">
      <c r="A45" s="3" t="s">
        <v>112</v>
      </c>
      <c r="B45" s="2">
        <v>200</v>
      </c>
      <c r="C45" s="2">
        <v>27</v>
      </c>
      <c r="D45" s="8" t="s">
        <v>666</v>
      </c>
      <c r="E45" s="6" t="str">
        <f t="shared" si="0"/>
        <v>2026-01-01</v>
      </c>
      <c r="F45" s="2">
        <v>149</v>
      </c>
      <c r="G45" s="3" t="s">
        <v>66</v>
      </c>
      <c r="H45" s="3" t="s">
        <v>64</v>
      </c>
      <c r="I45" s="2">
        <v>68</v>
      </c>
      <c r="J45" s="6" t="str">
        <f>_xlfn.IFNA(VLOOKUP(C45,merchants!$A$1:$D$41,2,0),"Merchant not found")</f>
        <v>Merchant_027</v>
      </c>
      <c r="K45" s="6" t="str">
        <f>_xlfn.IFNA(VLOOKUP(C45,merchants!$A$1:$D$41,3,0),"Merchant not found")</f>
        <v>ecommerce</v>
      </c>
      <c r="L45" s="6" t="str">
        <f>_xlfn.IFNA(VLOOKUP(C45,merchants!$A$1:$D$41,4,0),"Merchant not found")</f>
        <v>North</v>
      </c>
      <c r="M45" s="9">
        <f t="shared" si="1"/>
        <v>0</v>
      </c>
      <c r="N45" s="6" t="str">
        <f>IF(AND(L45&lt;&gt;"East",SUMIFS(merchant_workbook_pivot_table!$D$2:$D$444,merchant_workbook_pivot_table!$C$2:$C$444,E45,merchant_workbook_pivot_table!$B$2:$B$444,J45)&gt;5000),"High-Value Merchant Day",IF(AND(L45&lt;&gt;"East",SUMIFS(merchant_workbook_pivot_table!$D$2:$D$444,merchant_workbook_pivot_table!$C$2:$C$444,E45,merchant_workbook_pivot_table!$B$2:$B$444,J45)&gt;1000),"Mid-Value Merchant Day",""))</f>
        <v/>
      </c>
      <c r="P45" s="22">
        <v>39</v>
      </c>
      <c r="Q45" s="22">
        <v>11291</v>
      </c>
      <c r="R45" s="19">
        <v>9</v>
      </c>
      <c r="S45" s="22">
        <v>10997</v>
      </c>
      <c r="T45" s="19">
        <v>3</v>
      </c>
      <c r="U45" s="22">
        <v>399</v>
      </c>
      <c r="V45" s="23">
        <v>1</v>
      </c>
      <c r="X45" s="18" t="s">
        <v>667</v>
      </c>
      <c r="Y45" s="19">
        <v>30</v>
      </c>
      <c r="Z45" s="19">
        <v>547</v>
      </c>
    </row>
    <row r="46">
      <c r="A46" s="3" t="s">
        <v>113</v>
      </c>
      <c r="B46" s="2">
        <v>309</v>
      </c>
      <c r="C46" s="2">
        <v>15</v>
      </c>
      <c r="D46" s="8" t="s">
        <v>668</v>
      </c>
      <c r="E46" s="6" t="str">
        <f t="shared" si="0"/>
        <v>2026-01-24</v>
      </c>
      <c r="F46" s="2">
        <v>99</v>
      </c>
      <c r="G46" s="3" t="s">
        <v>69</v>
      </c>
      <c r="H46" s="3" t="s">
        <v>64</v>
      </c>
      <c r="I46" s="2">
        <v>62</v>
      </c>
      <c r="J46" s="6" t="str">
        <f>_xlfn.IFNA(VLOOKUP(C46,merchants!$A$1:$D$41,2,0),"Merchant not found")</f>
        <v>Merchant_015</v>
      </c>
      <c r="K46" s="6" t="str">
        <f>_xlfn.IFNA(VLOOKUP(C46,merchants!$A$1:$D$41,3,0),"Merchant not found")</f>
        <v>travel</v>
      </c>
      <c r="L46" s="6" t="str">
        <f>_xlfn.IFNA(VLOOKUP(C46,merchants!$A$1:$D$41,4,0),"Merchant not found")</f>
        <v>North</v>
      </c>
      <c r="M46" s="9">
        <f t="shared" si="1"/>
        <v>0.98999999999999999</v>
      </c>
      <c r="N46" s="6" t="str">
        <f>IF(AND(L46&lt;&gt;"East",SUMIFS(merchant_workbook_pivot_table!$D$2:$D$444,merchant_workbook_pivot_table!$C$2:$C$444,E46,merchant_workbook_pivot_table!$B$2:$B$444,J46)&gt;5000),"High-Value Merchant Day",IF(AND(L46&lt;&gt;"East",SUMIFS(merchant_workbook_pivot_table!$D$2:$D$444,merchant_workbook_pivot_table!$C$2:$C$444,E46,merchant_workbook_pivot_table!$B$2:$B$444,J46)&gt;1000),"Mid-Value Merchant Day",""))</f>
        <v/>
      </c>
      <c r="P46" s="22">
        <v>40</v>
      </c>
      <c r="Q46" s="22">
        <v>3039</v>
      </c>
      <c r="R46" s="19">
        <v>11</v>
      </c>
      <c r="S46" s="22">
        <v>5148</v>
      </c>
      <c r="T46" s="19">
        <v>2</v>
      </c>
      <c r="U46" s="22">
        <v>548</v>
      </c>
      <c r="V46" s="23">
        <v>2</v>
      </c>
    </row>
    <row r="47">
      <c r="A47" s="3" t="s">
        <v>114</v>
      </c>
      <c r="B47" s="2">
        <v>249</v>
      </c>
      <c r="C47" s="2">
        <v>2</v>
      </c>
      <c r="D47" s="8" t="s">
        <v>669</v>
      </c>
      <c r="E47" s="6" t="str">
        <f t="shared" si="0"/>
        <v>2026-01-08</v>
      </c>
      <c r="F47" s="2">
        <v>299</v>
      </c>
      <c r="G47" s="3" t="s">
        <v>63</v>
      </c>
      <c r="H47" s="3" t="s">
        <v>64</v>
      </c>
      <c r="I47" s="2">
        <v>49</v>
      </c>
      <c r="J47" s="6" t="str">
        <f>_xlfn.IFNA(VLOOKUP(C47,merchants!$A$1:$D$41,2,0),"Merchant not found")</f>
        <v>Merchant_002</v>
      </c>
      <c r="K47" s="6" t="str">
        <f>_xlfn.IFNA(VLOOKUP(C47,merchants!$A$1:$D$41,3,0),"Merchant not found")</f>
        <v>grocery</v>
      </c>
      <c r="L47" s="6" t="str">
        <f>_xlfn.IFNA(VLOOKUP(C47,merchants!$A$1:$D$41,4,0),"Merchant not found")</f>
        <v>West</v>
      </c>
      <c r="M47" s="9">
        <f t="shared" si="1"/>
        <v>4.4849999999999994</v>
      </c>
      <c r="N47" s="6" t="str">
        <f>IF(AND(L47&lt;&gt;"East",SUMIFS(merchant_workbook_pivot_table!$D$2:$D$444,merchant_workbook_pivot_table!$C$2:$C$444,E47,merchant_workbook_pivot_table!$B$2:$B$444,J47)&gt;5000),"High-Value Merchant Day",IF(AND(L47&lt;&gt;"East",SUMIFS(merchant_workbook_pivot_table!$D$2:$D$444,merchant_workbook_pivot_table!$C$2:$C$444,E47,merchant_workbook_pivot_table!$B$2:$B$444,J47)&gt;1000),"Mid-Value Merchant Day",""))</f>
        <v/>
      </c>
      <c r="P47" s="24" t="s">
        <v>667</v>
      </c>
      <c r="Q47" s="24">
        <v>290382</v>
      </c>
      <c r="R47" s="25">
        <v>468</v>
      </c>
      <c r="S47" s="24">
        <v>54472</v>
      </c>
      <c r="T47" s="25">
        <v>28</v>
      </c>
      <c r="U47" s="24">
        <v>37749</v>
      </c>
      <c r="V47" s="26">
        <v>51</v>
      </c>
    </row>
    <row r="48">
      <c r="A48" s="3" t="s">
        <v>115</v>
      </c>
      <c r="B48" s="2">
        <v>208</v>
      </c>
      <c r="C48" s="2">
        <v>11</v>
      </c>
      <c r="D48" s="8" t="s">
        <v>670</v>
      </c>
      <c r="E48" s="6" t="str">
        <f t="shared" si="0"/>
        <v>2026-01-11</v>
      </c>
      <c r="F48" s="2">
        <v>4999</v>
      </c>
      <c r="G48" s="3" t="s">
        <v>69</v>
      </c>
      <c r="H48" s="3" t="s">
        <v>64</v>
      </c>
      <c r="I48" s="2">
        <v>59</v>
      </c>
      <c r="J48" s="6" t="str">
        <f>_xlfn.IFNA(VLOOKUP(C48,merchants!$A$1:$D$41,2,0),"Merchant not found")</f>
        <v>Merchant_011</v>
      </c>
      <c r="K48" s="6" t="str">
        <f>_xlfn.IFNA(VLOOKUP(C48,merchants!$A$1:$D$41,3,0),"Merchant not found")</f>
        <v>ecommerce</v>
      </c>
      <c r="L48" s="6" t="str">
        <f>_xlfn.IFNA(VLOOKUP(C48,merchants!$A$1:$D$41,4,0),"Merchant not found")</f>
        <v>North</v>
      </c>
      <c r="M48" s="9">
        <f t="shared" si="1"/>
        <v>49.990000000000002</v>
      </c>
      <c r="N48" s="6" t="str">
        <f>IF(AND(L48&lt;&gt;"East",SUMIFS(merchant_workbook_pivot_table!$D$2:$D$444,merchant_workbook_pivot_table!$C$2:$C$444,E48,merchant_workbook_pivot_table!$B$2:$B$444,J48)&gt;5000),"High-Value Merchant Day",IF(AND(L48&lt;&gt;"East",SUMIFS(merchant_workbook_pivot_table!$D$2:$D$444,merchant_workbook_pivot_table!$C$2:$C$444,E48,merchant_workbook_pivot_table!$B$2:$B$444,J48)&gt;1000),"Mid-Value Merchant Day",""))</f>
        <v xml:space="preserve">Mid-Value Merchant Day</v>
      </c>
    </row>
    <row r="49">
      <c r="A49" s="3" t="s">
        <v>116</v>
      </c>
      <c r="B49" s="2">
        <v>274</v>
      </c>
      <c r="C49" s="2">
        <v>2</v>
      </c>
      <c r="D49" s="8" t="s">
        <v>671</v>
      </c>
      <c r="E49" s="6" t="str">
        <f t="shared" si="0"/>
        <v>2026-01-30</v>
      </c>
      <c r="F49" s="2">
        <v>299</v>
      </c>
      <c r="G49" s="3" t="s">
        <v>66</v>
      </c>
      <c r="H49" s="3" t="s">
        <v>64</v>
      </c>
      <c r="I49" s="2">
        <v>50</v>
      </c>
      <c r="J49" s="6" t="str">
        <f>_xlfn.IFNA(VLOOKUP(C49,merchants!$A$1:$D$41,2,0),"Merchant not found")</f>
        <v>Merchant_002</v>
      </c>
      <c r="K49" s="6" t="str">
        <f>_xlfn.IFNA(VLOOKUP(C49,merchants!$A$1:$D$41,3,0),"Merchant not found")</f>
        <v>grocery</v>
      </c>
      <c r="L49" s="6" t="str">
        <f>_xlfn.IFNA(VLOOKUP(C49,merchants!$A$1:$D$41,4,0),"Merchant not found")</f>
        <v>West</v>
      </c>
      <c r="M49" s="9">
        <f t="shared" si="1"/>
        <v>0</v>
      </c>
      <c r="N49" s="6" t="str">
        <f>IF(AND(L49&lt;&gt;"East",SUMIFS(merchant_workbook_pivot_table!$D$2:$D$444,merchant_workbook_pivot_table!$C$2:$C$444,E49,merchant_workbook_pivot_table!$B$2:$B$444,J49)&gt;5000),"High-Value Merchant Day",IF(AND(L49&lt;&gt;"East",SUMIFS(merchant_workbook_pivot_table!$D$2:$D$444,merchant_workbook_pivot_table!$C$2:$C$444,E49,merchant_workbook_pivot_table!$B$2:$B$444,J49)&gt;1000),"Mid-Value Merchant Day",""))</f>
        <v/>
      </c>
    </row>
    <row r="50">
      <c r="A50" s="3" t="s">
        <v>117</v>
      </c>
      <c r="B50" s="2">
        <v>14</v>
      </c>
      <c r="C50" s="2">
        <v>6</v>
      </c>
      <c r="D50" s="8" t="s">
        <v>672</v>
      </c>
      <c r="E50" s="6" t="str">
        <f t="shared" si="0"/>
        <v>2026-01-19</v>
      </c>
      <c r="F50" s="2">
        <v>49</v>
      </c>
      <c r="G50" s="3" t="s">
        <v>63</v>
      </c>
      <c r="H50" s="3" t="s">
        <v>64</v>
      </c>
      <c r="I50" s="2">
        <v>82</v>
      </c>
      <c r="J50" s="6" t="str">
        <f>_xlfn.IFNA(VLOOKUP(C50,merchants!$A$1:$D$41,2,0),"Merchant not found")</f>
        <v>Merchant_006</v>
      </c>
      <c r="K50" s="6" t="str">
        <f>_xlfn.IFNA(VLOOKUP(C50,merchants!$A$1:$D$41,3,0),"Merchant not found")</f>
        <v>food_delivery</v>
      </c>
      <c r="L50" s="6" t="str">
        <f>_xlfn.IFNA(VLOOKUP(C50,merchants!$A$1:$D$41,4,0),"Merchant not found")</f>
        <v>South</v>
      </c>
      <c r="M50" s="9">
        <f t="shared" si="1"/>
        <v>0.73499999999999999</v>
      </c>
      <c r="N50" s="6" t="str">
        <f>IF(AND(L50&lt;&gt;"East",SUMIFS(merchant_workbook_pivot_table!$D$2:$D$444,merchant_workbook_pivot_table!$C$2:$C$444,E50,merchant_workbook_pivot_table!$B$2:$B$444,J50)&gt;5000),"High-Value Merchant Day",IF(AND(L50&lt;&gt;"East",SUMIFS(merchant_workbook_pivot_table!$D$2:$D$444,merchant_workbook_pivot_table!$C$2:$C$444,E50,merchant_workbook_pivot_table!$B$2:$B$444,J50)&gt;1000),"Mid-Value Merchant Day",""))</f>
        <v/>
      </c>
    </row>
    <row r="51">
      <c r="A51" s="3" t="s">
        <v>118</v>
      </c>
      <c r="B51" s="2">
        <v>237</v>
      </c>
      <c r="C51" s="2">
        <v>12</v>
      </c>
      <c r="D51" s="8" t="s">
        <v>673</v>
      </c>
      <c r="E51" s="6" t="str">
        <f t="shared" si="0"/>
        <v>2026-01-14</v>
      </c>
      <c r="F51" s="2">
        <v>49</v>
      </c>
      <c r="G51" s="3" t="s">
        <v>66</v>
      </c>
      <c r="H51" s="3" t="s">
        <v>64</v>
      </c>
      <c r="I51" s="2">
        <v>6</v>
      </c>
      <c r="J51" s="6" t="str">
        <f>_xlfn.IFNA(VLOOKUP(C51,merchants!$A$1:$D$41,2,0),"Merchant not found")</f>
        <v>Merchant_012</v>
      </c>
      <c r="K51" s="6" t="str">
        <f>_xlfn.IFNA(VLOOKUP(C51,merchants!$A$1:$D$41,3,0),"Merchant not found")</f>
        <v>ecommerce</v>
      </c>
      <c r="L51" s="6" t="str">
        <f>_xlfn.IFNA(VLOOKUP(C51,merchants!$A$1:$D$41,4,0),"Merchant not found")</f>
        <v>East</v>
      </c>
      <c r="M51" s="9">
        <f t="shared" si="1"/>
        <v>0</v>
      </c>
      <c r="N51" s="6" t="str">
        <f>IF(AND(L51&lt;&gt;"East",SUMIFS(merchant_workbook_pivot_table!$D$2:$D$444,merchant_workbook_pivot_table!$C$2:$C$444,E51,merchant_workbook_pivot_table!$B$2:$B$444,J51)&gt;5000),"High-Value Merchant Day",IF(AND(L51&lt;&gt;"East",SUMIFS(merchant_workbook_pivot_table!$D$2:$D$444,merchant_workbook_pivot_table!$C$2:$C$444,E51,merchant_workbook_pivot_table!$B$2:$B$444,J51)&gt;1000),"Mid-Value Merchant Day",""))</f>
        <v/>
      </c>
    </row>
    <row r="52">
      <c r="A52" s="3" t="s">
        <v>119</v>
      </c>
      <c r="B52" s="2">
        <v>109</v>
      </c>
      <c r="C52" s="2">
        <v>30</v>
      </c>
      <c r="D52" s="8" t="s">
        <v>674</v>
      </c>
      <c r="E52" s="6" t="str">
        <f t="shared" si="0"/>
        <v>2026-01-09</v>
      </c>
      <c r="F52" s="2">
        <v>99</v>
      </c>
      <c r="G52" s="3" t="s">
        <v>66</v>
      </c>
      <c r="H52" s="3" t="s">
        <v>64</v>
      </c>
      <c r="I52" s="2">
        <v>41</v>
      </c>
      <c r="J52" s="6" t="str">
        <f>_xlfn.IFNA(VLOOKUP(C52,merchants!$A$1:$D$41,2,0),"Merchant not found")</f>
        <v>Merchant_030</v>
      </c>
      <c r="K52" s="6" t="str">
        <f>_xlfn.IFNA(VLOOKUP(C52,merchants!$A$1:$D$41,3,0),"Merchant not found")</f>
        <v>travel</v>
      </c>
      <c r="L52" s="6" t="str">
        <f>_xlfn.IFNA(VLOOKUP(C52,merchants!$A$1:$D$41,4,0),"Merchant not found")</f>
        <v>West</v>
      </c>
      <c r="M52" s="9">
        <f t="shared" si="1"/>
        <v>0</v>
      </c>
      <c r="N52" s="6" t="str">
        <f>IF(AND(L52&lt;&gt;"East",SUMIFS(merchant_workbook_pivot_table!$D$2:$D$444,merchant_workbook_pivot_table!$C$2:$C$444,E52,merchant_workbook_pivot_table!$B$2:$B$444,J52)&gt;5000),"High-Value Merchant Day",IF(AND(L52&lt;&gt;"East",SUMIFS(merchant_workbook_pivot_table!$D$2:$D$444,merchant_workbook_pivot_table!$C$2:$C$444,E52,merchant_workbook_pivot_table!$B$2:$B$444,J52)&gt;1000),"Mid-Value Merchant Day",""))</f>
        <v/>
      </c>
    </row>
    <row r="53">
      <c r="A53" s="3" t="s">
        <v>120</v>
      </c>
      <c r="B53" s="2">
        <v>216</v>
      </c>
      <c r="C53" s="2">
        <v>17</v>
      </c>
      <c r="D53" s="8" t="s">
        <v>675</v>
      </c>
      <c r="E53" s="6" t="str">
        <f t="shared" si="0"/>
        <v>2026-01-11</v>
      </c>
      <c r="F53" s="2">
        <v>4999</v>
      </c>
      <c r="G53" s="3" t="s">
        <v>66</v>
      </c>
      <c r="H53" s="3" t="s">
        <v>64</v>
      </c>
      <c r="I53" s="2">
        <v>10</v>
      </c>
      <c r="J53" s="6" t="str">
        <f>_xlfn.IFNA(VLOOKUP(C53,merchants!$A$1:$D$41,2,0),"Merchant not found")</f>
        <v>Merchant_017</v>
      </c>
      <c r="K53" s="6" t="str">
        <f>_xlfn.IFNA(VLOOKUP(C53,merchants!$A$1:$D$41,3,0),"Merchant not found")</f>
        <v>grocery</v>
      </c>
      <c r="L53" s="6" t="str">
        <f>_xlfn.IFNA(VLOOKUP(C53,merchants!$A$1:$D$41,4,0),"Merchant not found")</f>
        <v>North</v>
      </c>
      <c r="M53" s="9">
        <f t="shared" si="1"/>
        <v>0</v>
      </c>
      <c r="N53" s="6" t="str">
        <f>IF(AND(L53&lt;&gt;"East",SUMIFS(merchant_workbook_pivot_table!$D$2:$D$444,merchant_workbook_pivot_table!$C$2:$C$444,E53,merchant_workbook_pivot_table!$B$2:$B$444,J53)&gt;5000),"High-Value Merchant Day",IF(AND(L53&lt;&gt;"East",SUMIFS(merchant_workbook_pivot_table!$D$2:$D$444,merchant_workbook_pivot_table!$C$2:$C$444,E53,merchant_workbook_pivot_table!$B$2:$B$444,J53)&gt;1000),"Mid-Value Merchant Day",""))</f>
        <v xml:space="preserve">High-Value Merchant Day</v>
      </c>
    </row>
    <row r="54">
      <c r="A54" s="3" t="s">
        <v>121</v>
      </c>
      <c r="B54" s="2">
        <v>277</v>
      </c>
      <c r="C54" s="2">
        <v>4</v>
      </c>
      <c r="D54" s="8" t="s">
        <v>676</v>
      </c>
      <c r="E54" s="6" t="str">
        <f t="shared" si="0"/>
        <v>2026-01-16</v>
      </c>
      <c r="F54" s="2">
        <v>799</v>
      </c>
      <c r="G54" s="3" t="s">
        <v>66</v>
      </c>
      <c r="H54" s="3" t="s">
        <v>64</v>
      </c>
      <c r="I54" s="2">
        <v>44</v>
      </c>
      <c r="J54" s="6" t="str">
        <f>_xlfn.IFNA(VLOOKUP(C54,merchants!$A$1:$D$41,2,0),"Merchant not found")</f>
        <v>Merchant_004</v>
      </c>
      <c r="K54" s="6" t="str">
        <f>_xlfn.IFNA(VLOOKUP(C54,merchants!$A$1:$D$41,3,0),"Merchant not found")</f>
        <v>ecommerce</v>
      </c>
      <c r="L54" s="6" t="str">
        <f>_xlfn.IFNA(VLOOKUP(C54,merchants!$A$1:$D$41,4,0),"Merchant not found")</f>
        <v>East</v>
      </c>
      <c r="M54" s="9">
        <f t="shared" si="1"/>
        <v>0</v>
      </c>
      <c r="N54" s="6" t="str">
        <f>IF(AND(L54&lt;&gt;"East",SUMIFS(merchant_workbook_pivot_table!$D$2:$D$444,merchant_workbook_pivot_table!$C$2:$C$444,E54,merchant_workbook_pivot_table!$B$2:$B$444,J54)&gt;5000),"High-Value Merchant Day",IF(AND(L54&lt;&gt;"East",SUMIFS(merchant_workbook_pivot_table!$D$2:$D$444,merchant_workbook_pivot_table!$C$2:$C$444,E54,merchant_workbook_pivot_table!$B$2:$B$444,J54)&gt;1000),"Mid-Value Merchant Day",""))</f>
        <v/>
      </c>
    </row>
    <row r="55">
      <c r="A55" s="3" t="s">
        <v>122</v>
      </c>
      <c r="B55" s="2">
        <v>334</v>
      </c>
      <c r="C55" s="2">
        <v>3</v>
      </c>
      <c r="D55" s="8" t="s">
        <v>677</v>
      </c>
      <c r="E55" s="6" t="str">
        <f t="shared" si="0"/>
        <v>2026-01-08</v>
      </c>
      <c r="F55" s="2">
        <v>149</v>
      </c>
      <c r="G55" s="3" t="s">
        <v>63</v>
      </c>
      <c r="H55" s="3" t="s">
        <v>64</v>
      </c>
      <c r="I55" s="2">
        <v>96</v>
      </c>
      <c r="J55" s="6" t="str">
        <f>_xlfn.IFNA(VLOOKUP(C55,merchants!$A$1:$D$41,2,0),"Merchant not found")</f>
        <v>Merchant_003</v>
      </c>
      <c r="K55" s="6" t="str">
        <f>_xlfn.IFNA(VLOOKUP(C55,merchants!$A$1:$D$41,3,0),"Merchant not found")</f>
        <v>grocery</v>
      </c>
      <c r="L55" s="6" t="str">
        <f>_xlfn.IFNA(VLOOKUP(C55,merchants!$A$1:$D$41,4,0),"Merchant not found")</f>
        <v>East</v>
      </c>
      <c r="M55" s="9">
        <f t="shared" si="1"/>
        <v>2.2349999999999999</v>
      </c>
      <c r="N55" s="6" t="str">
        <f>IF(AND(L55&lt;&gt;"East",SUMIFS(merchant_workbook_pivot_table!$D$2:$D$444,merchant_workbook_pivot_table!$C$2:$C$444,E55,merchant_workbook_pivot_table!$B$2:$B$444,J55)&gt;5000),"High-Value Merchant Day",IF(AND(L55&lt;&gt;"East",SUMIFS(merchant_workbook_pivot_table!$D$2:$D$444,merchant_workbook_pivot_table!$C$2:$C$444,E55,merchant_workbook_pivot_table!$B$2:$B$444,J55)&gt;1000),"Mid-Value Merchant Day",""))</f>
        <v/>
      </c>
    </row>
    <row r="56">
      <c r="A56" s="3" t="s">
        <v>123</v>
      </c>
      <c r="B56" s="2">
        <v>11</v>
      </c>
      <c r="C56" s="2">
        <v>40</v>
      </c>
      <c r="D56" s="8" t="s">
        <v>678</v>
      </c>
      <c r="E56" s="6" t="str">
        <f t="shared" si="0"/>
        <v>2026-01-01</v>
      </c>
      <c r="F56" s="2">
        <v>299</v>
      </c>
      <c r="G56" s="3" t="s">
        <v>66</v>
      </c>
      <c r="H56" s="3" t="s">
        <v>64</v>
      </c>
      <c r="I56" s="2">
        <v>19</v>
      </c>
      <c r="J56" s="6" t="str">
        <f>_xlfn.IFNA(VLOOKUP(C56,merchants!$A$1:$D$41,2,0),"Merchant not found")</f>
        <v>Merchant_040</v>
      </c>
      <c r="K56" s="6" t="str">
        <f>_xlfn.IFNA(VLOOKUP(C56,merchants!$A$1:$D$41,3,0),"Merchant not found")</f>
        <v>entertainment</v>
      </c>
      <c r="L56" s="6" t="str">
        <f>_xlfn.IFNA(VLOOKUP(C56,merchants!$A$1:$D$41,4,0),"Merchant not found")</f>
        <v>South</v>
      </c>
      <c r="M56" s="9">
        <f t="shared" si="1"/>
        <v>0</v>
      </c>
      <c r="N56" s="6" t="str">
        <f>IF(AND(L56&lt;&gt;"East",SUMIFS(merchant_workbook_pivot_table!$D$2:$D$444,merchant_workbook_pivot_table!$C$2:$C$444,E56,merchant_workbook_pivot_table!$B$2:$B$444,J56)&gt;5000),"High-Value Merchant Day",IF(AND(L56&lt;&gt;"East",SUMIFS(merchant_workbook_pivot_table!$D$2:$D$444,merchant_workbook_pivot_table!$C$2:$C$444,E56,merchant_workbook_pivot_table!$B$2:$B$444,J56)&gt;1000),"Mid-Value Merchant Day",""))</f>
        <v/>
      </c>
    </row>
    <row r="57">
      <c r="A57" s="3" t="s">
        <v>124</v>
      </c>
      <c r="B57" s="2">
        <v>343</v>
      </c>
      <c r="C57" s="2">
        <v>8</v>
      </c>
      <c r="D57" s="8" t="s">
        <v>679</v>
      </c>
      <c r="E57" s="6" t="str">
        <f t="shared" si="0"/>
        <v>2026-01-08</v>
      </c>
      <c r="F57" s="2">
        <v>99</v>
      </c>
      <c r="G57" s="3" t="s">
        <v>66</v>
      </c>
      <c r="H57" s="3" t="s">
        <v>64</v>
      </c>
      <c r="I57" s="2">
        <v>72</v>
      </c>
      <c r="J57" s="6" t="str">
        <f>_xlfn.IFNA(VLOOKUP(C57,merchants!$A$1:$D$41,2,0),"Merchant not found")</f>
        <v>Merchant_008</v>
      </c>
      <c r="K57" s="6" t="str">
        <f>_xlfn.IFNA(VLOOKUP(C57,merchants!$A$1:$D$41,3,0),"Merchant not found")</f>
        <v>food_delivery</v>
      </c>
      <c r="L57" s="6" t="str">
        <f>_xlfn.IFNA(VLOOKUP(C57,merchants!$A$1:$D$41,4,0),"Merchant not found")</f>
        <v>North</v>
      </c>
      <c r="M57" s="9">
        <f t="shared" si="1"/>
        <v>0</v>
      </c>
      <c r="N57" s="6" t="str">
        <f>IF(AND(L57&lt;&gt;"East",SUMIFS(merchant_workbook_pivot_table!$D$2:$D$444,merchant_workbook_pivot_table!$C$2:$C$444,E57,merchant_workbook_pivot_table!$B$2:$B$444,J57)&gt;5000),"High-Value Merchant Day",IF(AND(L57&lt;&gt;"East",SUMIFS(merchant_workbook_pivot_table!$D$2:$D$444,merchant_workbook_pivot_table!$C$2:$C$444,E57,merchant_workbook_pivot_table!$B$2:$B$444,J57)&gt;1000),"Mid-Value Merchant Day",""))</f>
        <v/>
      </c>
    </row>
    <row r="58">
      <c r="A58" s="3" t="s">
        <v>125</v>
      </c>
      <c r="B58" s="2">
        <v>132</v>
      </c>
      <c r="C58" s="2">
        <v>24</v>
      </c>
      <c r="D58" s="8" t="s">
        <v>680</v>
      </c>
      <c r="E58" s="6" t="str">
        <f t="shared" si="0"/>
        <v>2026-01-07</v>
      </c>
      <c r="F58" s="2">
        <v>299</v>
      </c>
      <c r="G58" s="3" t="s">
        <v>63</v>
      </c>
      <c r="H58" s="3" t="s">
        <v>64</v>
      </c>
      <c r="I58" s="2">
        <v>21</v>
      </c>
      <c r="J58" s="6" t="str">
        <f>_xlfn.IFNA(VLOOKUP(C58,merchants!$A$1:$D$41,2,0),"Merchant not found")</f>
        <v>Merchant_024</v>
      </c>
      <c r="K58" s="6" t="str">
        <f>_xlfn.IFNA(VLOOKUP(C58,merchants!$A$1:$D$41,3,0),"Merchant not found")</f>
        <v>grocery</v>
      </c>
      <c r="L58" s="6" t="str">
        <f>_xlfn.IFNA(VLOOKUP(C58,merchants!$A$1:$D$41,4,0),"Merchant not found")</f>
        <v>North</v>
      </c>
      <c r="M58" s="9">
        <f t="shared" si="1"/>
        <v>4.4849999999999994</v>
      </c>
      <c r="N58" s="6" t="str">
        <f>IF(AND(L58&lt;&gt;"East",SUMIFS(merchant_workbook_pivot_table!$D$2:$D$444,merchant_workbook_pivot_table!$C$2:$C$444,E58,merchant_workbook_pivot_table!$B$2:$B$444,J58)&gt;5000),"High-Value Merchant Day",IF(AND(L58&lt;&gt;"East",SUMIFS(merchant_workbook_pivot_table!$D$2:$D$444,merchant_workbook_pivot_table!$C$2:$C$444,E58,merchant_workbook_pivot_table!$B$2:$B$444,J58)&gt;1000),"Mid-Value Merchant Day",""))</f>
        <v/>
      </c>
    </row>
    <row r="59">
      <c r="A59" s="3" t="s">
        <v>126</v>
      </c>
      <c r="B59" s="2">
        <v>59</v>
      </c>
      <c r="C59" s="2">
        <v>11</v>
      </c>
      <c r="D59" s="8" t="s">
        <v>681</v>
      </c>
      <c r="E59" s="6" t="str">
        <f t="shared" si="0"/>
        <v>2026-01-20</v>
      </c>
      <c r="F59" s="2">
        <v>299</v>
      </c>
      <c r="G59" s="3" t="s">
        <v>66</v>
      </c>
      <c r="H59" s="3" t="s">
        <v>64</v>
      </c>
      <c r="I59" s="2">
        <v>39</v>
      </c>
      <c r="J59" s="6" t="str">
        <f>_xlfn.IFNA(VLOOKUP(C59,merchants!$A$1:$D$41,2,0),"Merchant not found")</f>
        <v>Merchant_011</v>
      </c>
      <c r="K59" s="6" t="str">
        <f>_xlfn.IFNA(VLOOKUP(C59,merchants!$A$1:$D$41,3,0),"Merchant not found")</f>
        <v>ecommerce</v>
      </c>
      <c r="L59" s="6" t="str">
        <f>_xlfn.IFNA(VLOOKUP(C59,merchants!$A$1:$D$41,4,0),"Merchant not found")</f>
        <v>North</v>
      </c>
      <c r="M59" s="9">
        <f t="shared" si="1"/>
        <v>0</v>
      </c>
      <c r="N59" s="6" t="str">
        <f>IF(AND(L59&lt;&gt;"East",SUMIFS(merchant_workbook_pivot_table!$D$2:$D$444,merchant_workbook_pivot_table!$C$2:$C$444,E59,merchant_workbook_pivot_table!$B$2:$B$444,J59)&gt;5000),"High-Value Merchant Day",IF(AND(L59&lt;&gt;"East",SUMIFS(merchant_workbook_pivot_table!$D$2:$D$444,merchant_workbook_pivot_table!$C$2:$C$444,E59,merchant_workbook_pivot_table!$B$2:$B$444,J59)&gt;1000),"Mid-Value Merchant Day",""))</f>
        <v/>
      </c>
    </row>
    <row r="60">
      <c r="A60" s="3" t="s">
        <v>127</v>
      </c>
      <c r="B60" s="2">
        <v>160</v>
      </c>
      <c r="C60" s="2">
        <v>37</v>
      </c>
      <c r="D60" s="8" t="s">
        <v>682</v>
      </c>
      <c r="E60" s="6" t="str">
        <f t="shared" si="0"/>
        <v>2026-01-04</v>
      </c>
      <c r="F60" s="2">
        <v>49</v>
      </c>
      <c r="G60" s="3" t="s">
        <v>63</v>
      </c>
      <c r="H60" s="3" t="s">
        <v>64</v>
      </c>
      <c r="I60" s="2">
        <v>86</v>
      </c>
      <c r="J60" s="6" t="str">
        <f>_xlfn.IFNA(VLOOKUP(C60,merchants!$A$1:$D$41,2,0),"Merchant not found")</f>
        <v>Merchant_037</v>
      </c>
      <c r="K60" s="6" t="str">
        <f>_xlfn.IFNA(VLOOKUP(C60,merchants!$A$1:$D$41,3,0),"Merchant not found")</f>
        <v>entertainment</v>
      </c>
      <c r="L60" s="6" t="str">
        <f>_xlfn.IFNA(VLOOKUP(C60,merchants!$A$1:$D$41,4,0),"Merchant not found")</f>
        <v>South</v>
      </c>
      <c r="M60" s="9">
        <f t="shared" si="1"/>
        <v>0.73499999999999999</v>
      </c>
      <c r="N60" s="6" t="str">
        <f>IF(AND(L60&lt;&gt;"East",SUMIFS(merchant_workbook_pivot_table!$D$2:$D$444,merchant_workbook_pivot_table!$C$2:$C$444,E60,merchant_workbook_pivot_table!$B$2:$B$444,J60)&gt;5000),"High-Value Merchant Day",IF(AND(L60&lt;&gt;"East",SUMIFS(merchant_workbook_pivot_table!$D$2:$D$444,merchant_workbook_pivot_table!$C$2:$C$444,E60,merchant_workbook_pivot_table!$B$2:$B$444,J60)&gt;1000),"Mid-Value Merchant Day",""))</f>
        <v/>
      </c>
    </row>
    <row r="61">
      <c r="A61" s="3" t="s">
        <v>128</v>
      </c>
      <c r="B61" s="2">
        <v>102</v>
      </c>
      <c r="C61" s="2">
        <v>5</v>
      </c>
      <c r="D61" s="8" t="s">
        <v>683</v>
      </c>
      <c r="E61" s="6" t="str">
        <f t="shared" si="0"/>
        <v>2026-01-30</v>
      </c>
      <c r="F61" s="2">
        <v>2999</v>
      </c>
      <c r="G61" s="3" t="s">
        <v>66</v>
      </c>
      <c r="H61" s="3" t="s">
        <v>64</v>
      </c>
      <c r="I61" s="2">
        <v>75</v>
      </c>
      <c r="J61" s="6" t="str">
        <f>_xlfn.IFNA(VLOOKUP(C61,merchants!$A$1:$D$41,2,0),"Merchant not found")</f>
        <v>Merchant_005</v>
      </c>
      <c r="K61" s="6" t="str">
        <f>_xlfn.IFNA(VLOOKUP(C61,merchants!$A$1:$D$41,3,0),"Merchant not found")</f>
        <v>recharge</v>
      </c>
      <c r="L61" s="6" t="str">
        <f>_xlfn.IFNA(VLOOKUP(C61,merchants!$A$1:$D$41,4,0),"Merchant not found")</f>
        <v>South</v>
      </c>
      <c r="M61" s="9">
        <f t="shared" si="1"/>
        <v>0</v>
      </c>
      <c r="N61" s="6" t="str">
        <f>IF(AND(L61&lt;&gt;"East",SUMIFS(merchant_workbook_pivot_table!$D$2:$D$444,merchant_workbook_pivot_table!$C$2:$C$444,E61,merchant_workbook_pivot_table!$B$2:$B$444,J61)&gt;5000),"High-Value Merchant Day",IF(AND(L61&lt;&gt;"East",SUMIFS(merchant_workbook_pivot_table!$D$2:$D$444,merchant_workbook_pivot_table!$C$2:$C$444,E61,merchant_workbook_pivot_table!$B$2:$B$444,J61)&gt;1000),"Mid-Value Merchant Day",""))</f>
        <v xml:space="preserve">Mid-Value Merchant Day</v>
      </c>
    </row>
    <row r="62">
      <c r="A62" s="3" t="s">
        <v>129</v>
      </c>
      <c r="B62" s="2">
        <v>53</v>
      </c>
      <c r="C62" s="2">
        <v>20</v>
      </c>
      <c r="D62" s="8" t="s">
        <v>684</v>
      </c>
      <c r="E62" s="6" t="str">
        <f t="shared" si="0"/>
        <v>2026-01-23</v>
      </c>
      <c r="F62" s="2">
        <v>49</v>
      </c>
      <c r="G62" s="3" t="s">
        <v>69</v>
      </c>
      <c r="H62" s="3" t="s">
        <v>64</v>
      </c>
      <c r="I62" s="2">
        <v>87</v>
      </c>
      <c r="J62" s="6" t="str">
        <f>_xlfn.IFNA(VLOOKUP(C62,merchants!$A$1:$D$41,2,0),"Merchant not found")</f>
        <v>Merchant_020</v>
      </c>
      <c r="K62" s="6" t="str">
        <f>_xlfn.IFNA(VLOOKUP(C62,merchants!$A$1:$D$41,3,0),"Merchant not found")</f>
        <v>food_delivery</v>
      </c>
      <c r="L62" s="6" t="str">
        <f>_xlfn.IFNA(VLOOKUP(C62,merchants!$A$1:$D$41,4,0),"Merchant not found")</f>
        <v>East</v>
      </c>
      <c r="M62" s="9">
        <f t="shared" si="1"/>
        <v>0.48999999999999999</v>
      </c>
      <c r="N62" s="6" t="str">
        <f>IF(AND(L62&lt;&gt;"East",SUMIFS(merchant_workbook_pivot_table!$D$2:$D$444,merchant_workbook_pivot_table!$C$2:$C$444,E62,merchant_workbook_pivot_table!$B$2:$B$444,J62)&gt;5000),"High-Value Merchant Day",IF(AND(L62&lt;&gt;"East",SUMIFS(merchant_workbook_pivot_table!$D$2:$D$444,merchant_workbook_pivot_table!$C$2:$C$444,E62,merchant_workbook_pivot_table!$B$2:$B$444,J62)&gt;1000),"Mid-Value Merchant Day",""))</f>
        <v/>
      </c>
    </row>
    <row r="63">
      <c r="A63" s="3" t="s">
        <v>130</v>
      </c>
      <c r="B63" s="2">
        <v>290</v>
      </c>
      <c r="C63" s="2">
        <v>3</v>
      </c>
      <c r="D63" s="8" t="s">
        <v>685</v>
      </c>
      <c r="E63" s="6" t="str">
        <f t="shared" si="0"/>
        <v>2026-01-20</v>
      </c>
      <c r="F63" s="2">
        <v>99</v>
      </c>
      <c r="G63" s="3" t="s">
        <v>63</v>
      </c>
      <c r="H63" s="3" t="s">
        <v>64</v>
      </c>
      <c r="I63" s="2">
        <v>44</v>
      </c>
      <c r="J63" s="6" t="str">
        <f>_xlfn.IFNA(VLOOKUP(C63,merchants!$A$1:$D$41,2,0),"Merchant not found")</f>
        <v>Merchant_003</v>
      </c>
      <c r="K63" s="6" t="str">
        <f>_xlfn.IFNA(VLOOKUP(C63,merchants!$A$1:$D$41,3,0),"Merchant not found")</f>
        <v>grocery</v>
      </c>
      <c r="L63" s="6" t="str">
        <f>_xlfn.IFNA(VLOOKUP(C63,merchants!$A$1:$D$41,4,0),"Merchant not found")</f>
        <v>East</v>
      </c>
      <c r="M63" s="9">
        <f t="shared" si="1"/>
        <v>1.4849999999999999</v>
      </c>
      <c r="N63" s="6" t="str">
        <f>IF(AND(L63&lt;&gt;"East",SUMIFS(merchant_workbook_pivot_table!$D$2:$D$444,merchant_workbook_pivot_table!$C$2:$C$444,E63,merchant_workbook_pivot_table!$B$2:$B$444,J63)&gt;5000),"High-Value Merchant Day",IF(AND(L63&lt;&gt;"East",SUMIFS(merchant_workbook_pivot_table!$D$2:$D$444,merchant_workbook_pivot_table!$C$2:$C$444,E63,merchant_workbook_pivot_table!$B$2:$B$444,J63)&gt;1000),"Mid-Value Merchant Day",""))</f>
        <v/>
      </c>
    </row>
    <row r="64">
      <c r="A64" s="3" t="s">
        <v>131</v>
      </c>
      <c r="B64" s="2">
        <v>190</v>
      </c>
      <c r="C64" s="2">
        <v>5</v>
      </c>
      <c r="D64" s="8" t="s">
        <v>686</v>
      </c>
      <c r="E64" s="6" t="str">
        <f t="shared" si="0"/>
        <v>2026-01-18</v>
      </c>
      <c r="F64" s="2">
        <v>299</v>
      </c>
      <c r="G64" s="3" t="s">
        <v>66</v>
      </c>
      <c r="H64" s="3" t="s">
        <v>64</v>
      </c>
      <c r="I64" s="2">
        <v>64</v>
      </c>
      <c r="J64" s="6" t="str">
        <f>_xlfn.IFNA(VLOOKUP(C64,merchants!$A$1:$D$41,2,0),"Merchant not found")</f>
        <v>Merchant_005</v>
      </c>
      <c r="K64" s="6" t="str">
        <f>_xlfn.IFNA(VLOOKUP(C64,merchants!$A$1:$D$41,3,0),"Merchant not found")</f>
        <v>recharge</v>
      </c>
      <c r="L64" s="6" t="str">
        <f>_xlfn.IFNA(VLOOKUP(C64,merchants!$A$1:$D$41,4,0),"Merchant not found")</f>
        <v>South</v>
      </c>
      <c r="M64" s="9">
        <f t="shared" si="1"/>
        <v>0</v>
      </c>
      <c r="N64" s="6" t="str">
        <f>IF(AND(L64&lt;&gt;"East",SUMIFS(merchant_workbook_pivot_table!$D$2:$D$444,merchant_workbook_pivot_table!$C$2:$C$444,E64,merchant_workbook_pivot_table!$B$2:$B$444,J64)&gt;5000),"High-Value Merchant Day",IF(AND(L64&lt;&gt;"East",SUMIFS(merchant_workbook_pivot_table!$D$2:$D$444,merchant_workbook_pivot_table!$C$2:$C$444,E64,merchant_workbook_pivot_table!$B$2:$B$444,J64)&gt;1000),"Mid-Value Merchant Day",""))</f>
        <v/>
      </c>
    </row>
    <row r="65">
      <c r="A65" s="3" t="s">
        <v>132</v>
      </c>
      <c r="B65" s="2">
        <v>216</v>
      </c>
      <c r="C65" s="2">
        <v>32</v>
      </c>
      <c r="D65" s="8" t="s">
        <v>687</v>
      </c>
      <c r="E65" s="6" t="str">
        <f t="shared" si="0"/>
        <v>2026-01-21</v>
      </c>
      <c r="F65" s="2">
        <v>49</v>
      </c>
      <c r="G65" s="3" t="s">
        <v>78</v>
      </c>
      <c r="H65" s="3" t="s">
        <v>64</v>
      </c>
      <c r="I65" s="2">
        <v>13</v>
      </c>
      <c r="J65" s="6" t="str">
        <f>_xlfn.IFNA(VLOOKUP(C65,merchants!$A$1:$D$41,2,0),"Merchant not found")</f>
        <v>Merchant_032</v>
      </c>
      <c r="K65" s="6" t="str">
        <f>_xlfn.IFNA(VLOOKUP(C65,merchants!$A$1:$D$41,3,0),"Merchant not found")</f>
        <v>food_delivery</v>
      </c>
      <c r="L65" s="6" t="str">
        <f>_xlfn.IFNA(VLOOKUP(C65,merchants!$A$1:$D$41,4,0),"Merchant not found")</f>
        <v>West</v>
      </c>
      <c r="M65" s="9">
        <f t="shared" si="1"/>
        <v>0.97999999999999998</v>
      </c>
      <c r="N65" s="6" t="str">
        <f>IF(AND(L65&lt;&gt;"East",SUMIFS(merchant_workbook_pivot_table!$D$2:$D$444,merchant_workbook_pivot_table!$C$2:$C$444,E65,merchant_workbook_pivot_table!$B$2:$B$444,J65)&gt;5000),"High-Value Merchant Day",IF(AND(L65&lt;&gt;"East",SUMIFS(merchant_workbook_pivot_table!$D$2:$D$444,merchant_workbook_pivot_table!$C$2:$C$444,E65,merchant_workbook_pivot_table!$B$2:$B$444,J65)&gt;1000),"Mid-Value Merchant Day",""))</f>
        <v/>
      </c>
    </row>
    <row r="66">
      <c r="A66" s="3" t="s">
        <v>133</v>
      </c>
      <c r="B66" s="2">
        <v>236</v>
      </c>
      <c r="C66" s="2">
        <v>10</v>
      </c>
      <c r="D66" s="8" t="s">
        <v>688</v>
      </c>
      <c r="E66" s="6" t="str">
        <f t="shared" ref="E66:E129" si="2">LEFT(D66,10)</f>
        <v>2026-01-14</v>
      </c>
      <c r="F66" s="2">
        <v>499</v>
      </c>
      <c r="G66" s="3" t="s">
        <v>66</v>
      </c>
      <c r="H66" s="3" t="s">
        <v>64</v>
      </c>
      <c r="I66" s="2">
        <v>55</v>
      </c>
      <c r="J66" s="6" t="str">
        <f>_xlfn.IFNA(VLOOKUP(C66,merchants!$A$1:$D$41,2,0),"Merchant not found")</f>
        <v>Merchant_010</v>
      </c>
      <c r="K66" s="6" t="str">
        <f>_xlfn.IFNA(VLOOKUP(C66,merchants!$A$1:$D$41,3,0),"Merchant not found")</f>
        <v>grocery</v>
      </c>
      <c r="L66" s="6" t="str">
        <f>_xlfn.IFNA(VLOOKUP(C66,merchants!$A$1:$D$41,4,0),"Merchant not found")</f>
        <v>West</v>
      </c>
      <c r="M66" s="9">
        <f t="shared" ref="M66:M129" si="3">F66*(HLOOKUP(G66,$Q$1:$T$2,2,0))</f>
        <v>0</v>
      </c>
      <c r="N66" s="6" t="str">
        <f>IF(AND(L66&lt;&gt;"East",SUMIFS(merchant_workbook_pivot_table!$D$2:$D$444,merchant_workbook_pivot_table!$C$2:$C$444,E66,merchant_workbook_pivot_table!$B$2:$B$444,J66)&gt;5000),"High-Value Merchant Day",IF(AND(L66&lt;&gt;"East",SUMIFS(merchant_workbook_pivot_table!$D$2:$D$444,merchant_workbook_pivot_table!$C$2:$C$444,E66,merchant_workbook_pivot_table!$B$2:$B$444,J66)&gt;1000),"Mid-Value Merchant Day",""))</f>
        <v/>
      </c>
    </row>
    <row r="67">
      <c r="A67" s="3" t="s">
        <v>134</v>
      </c>
      <c r="B67" s="2">
        <v>334</v>
      </c>
      <c r="C67" s="2">
        <v>18</v>
      </c>
      <c r="D67" s="8" t="s">
        <v>689</v>
      </c>
      <c r="E67" s="6" t="str">
        <f t="shared" si="2"/>
        <v>2026-01-06</v>
      </c>
      <c r="F67" s="2">
        <v>499</v>
      </c>
      <c r="G67" s="3" t="s">
        <v>78</v>
      </c>
      <c r="H67" s="3" t="s">
        <v>64</v>
      </c>
      <c r="I67" s="2">
        <v>78</v>
      </c>
      <c r="J67" s="6" t="str">
        <f>_xlfn.IFNA(VLOOKUP(C67,merchants!$A$1:$D$41,2,0),"Merchant not found")</f>
        <v>Merchant_018</v>
      </c>
      <c r="K67" s="6" t="str">
        <f>_xlfn.IFNA(VLOOKUP(C67,merchants!$A$1:$D$41,3,0),"Merchant not found")</f>
        <v>grocery</v>
      </c>
      <c r="L67" s="6" t="str">
        <f>_xlfn.IFNA(VLOOKUP(C67,merchants!$A$1:$D$41,4,0),"Merchant not found")</f>
        <v>West</v>
      </c>
      <c r="M67" s="9">
        <f t="shared" si="3"/>
        <v>9.9800000000000004</v>
      </c>
      <c r="N67" s="6" t="str">
        <f>IF(AND(L67&lt;&gt;"East",SUMIFS(merchant_workbook_pivot_table!$D$2:$D$444,merchant_workbook_pivot_table!$C$2:$C$444,E67,merchant_workbook_pivot_table!$B$2:$B$444,J67)&gt;5000),"High-Value Merchant Day",IF(AND(L67&lt;&gt;"East",SUMIFS(merchant_workbook_pivot_table!$D$2:$D$444,merchant_workbook_pivot_table!$C$2:$C$444,E67,merchant_workbook_pivot_table!$B$2:$B$444,J67)&gt;1000),"Mid-Value Merchant Day",""))</f>
        <v/>
      </c>
    </row>
    <row r="68">
      <c r="A68" s="3" t="s">
        <v>135</v>
      </c>
      <c r="B68" s="2">
        <v>248</v>
      </c>
      <c r="C68" s="2">
        <v>30</v>
      </c>
      <c r="D68" s="8" t="s">
        <v>690</v>
      </c>
      <c r="E68" s="6" t="str">
        <f t="shared" si="2"/>
        <v>2026-01-26</v>
      </c>
      <c r="F68" s="2">
        <v>799</v>
      </c>
      <c r="G68" s="3" t="s">
        <v>63</v>
      </c>
      <c r="H68" s="3" t="s">
        <v>64</v>
      </c>
      <c r="I68" s="2">
        <v>55</v>
      </c>
      <c r="J68" s="6" t="str">
        <f>_xlfn.IFNA(VLOOKUP(C68,merchants!$A$1:$D$41,2,0),"Merchant not found")</f>
        <v>Merchant_030</v>
      </c>
      <c r="K68" s="6" t="str">
        <f>_xlfn.IFNA(VLOOKUP(C68,merchants!$A$1:$D$41,3,0),"Merchant not found")</f>
        <v>travel</v>
      </c>
      <c r="L68" s="6" t="str">
        <f>_xlfn.IFNA(VLOOKUP(C68,merchants!$A$1:$D$41,4,0),"Merchant not found")</f>
        <v>West</v>
      </c>
      <c r="M68" s="9">
        <f t="shared" si="3"/>
        <v>11.984999999999999</v>
      </c>
      <c r="N68" s="6" t="str">
        <f>IF(AND(L68&lt;&gt;"East",SUMIFS(merchant_workbook_pivot_table!$D$2:$D$444,merchant_workbook_pivot_table!$C$2:$C$444,E68,merchant_workbook_pivot_table!$B$2:$B$444,J68)&gt;5000),"High-Value Merchant Day",IF(AND(L68&lt;&gt;"East",SUMIFS(merchant_workbook_pivot_table!$D$2:$D$444,merchant_workbook_pivot_table!$C$2:$C$444,E68,merchant_workbook_pivot_table!$B$2:$B$444,J68)&gt;1000),"Mid-Value Merchant Day",""))</f>
        <v/>
      </c>
    </row>
    <row r="69">
      <c r="A69" s="3" t="s">
        <v>136</v>
      </c>
      <c r="B69" s="2">
        <v>138</v>
      </c>
      <c r="C69" s="2">
        <v>21</v>
      </c>
      <c r="D69" s="8" t="s">
        <v>691</v>
      </c>
      <c r="E69" s="6" t="str">
        <f t="shared" si="2"/>
        <v>2026-01-27</v>
      </c>
      <c r="F69" s="2">
        <v>49</v>
      </c>
      <c r="G69" s="3" t="s">
        <v>78</v>
      </c>
      <c r="H69" s="3" t="s">
        <v>64</v>
      </c>
      <c r="I69" s="2">
        <v>31</v>
      </c>
      <c r="J69" s="6" t="str">
        <f>_xlfn.IFNA(VLOOKUP(C69,merchants!$A$1:$D$41,2,0),"Merchant not found")</f>
        <v>Merchant_021</v>
      </c>
      <c r="K69" s="6" t="str">
        <f>_xlfn.IFNA(VLOOKUP(C69,merchants!$A$1:$D$41,3,0),"Merchant not found")</f>
        <v>food_delivery</v>
      </c>
      <c r="L69" s="6" t="str">
        <f>_xlfn.IFNA(VLOOKUP(C69,merchants!$A$1:$D$41,4,0),"Merchant not found")</f>
        <v>East</v>
      </c>
      <c r="M69" s="9">
        <f t="shared" si="3"/>
        <v>0.97999999999999998</v>
      </c>
      <c r="N69" s="6" t="str">
        <f>IF(AND(L69&lt;&gt;"East",SUMIFS(merchant_workbook_pivot_table!$D$2:$D$444,merchant_workbook_pivot_table!$C$2:$C$444,E69,merchant_workbook_pivot_table!$B$2:$B$444,J69)&gt;5000),"High-Value Merchant Day",IF(AND(L69&lt;&gt;"East",SUMIFS(merchant_workbook_pivot_table!$D$2:$D$444,merchant_workbook_pivot_table!$C$2:$C$444,E69,merchant_workbook_pivot_table!$B$2:$B$444,J69)&gt;1000),"Mid-Value Merchant Day",""))</f>
        <v/>
      </c>
    </row>
    <row r="70">
      <c r="A70" s="3" t="s">
        <v>137</v>
      </c>
      <c r="B70" s="2">
        <v>231</v>
      </c>
      <c r="C70" s="2">
        <v>16</v>
      </c>
      <c r="D70" s="8" t="s">
        <v>692</v>
      </c>
      <c r="E70" s="6" t="str">
        <f t="shared" si="2"/>
        <v>2026-01-27</v>
      </c>
      <c r="F70" s="2">
        <v>49</v>
      </c>
      <c r="G70" s="3" t="s">
        <v>66</v>
      </c>
      <c r="H70" s="3" t="s">
        <v>64</v>
      </c>
      <c r="I70" s="2">
        <v>96</v>
      </c>
      <c r="J70" s="6" t="str">
        <f>_xlfn.IFNA(VLOOKUP(C70,merchants!$A$1:$D$41,2,0),"Merchant not found")</f>
        <v>Merchant_016</v>
      </c>
      <c r="K70" s="6" t="str">
        <f>_xlfn.IFNA(VLOOKUP(C70,merchants!$A$1:$D$41,3,0),"Merchant not found")</f>
        <v>bill_payment</v>
      </c>
      <c r="L70" s="6" t="str">
        <f>_xlfn.IFNA(VLOOKUP(C70,merchants!$A$1:$D$41,4,0),"Merchant not found")</f>
        <v>West</v>
      </c>
      <c r="M70" s="9">
        <f t="shared" si="3"/>
        <v>0</v>
      </c>
      <c r="N70" s="6" t="str">
        <f>IF(AND(L70&lt;&gt;"East",SUMIFS(merchant_workbook_pivot_table!$D$2:$D$444,merchant_workbook_pivot_table!$C$2:$C$444,E70,merchant_workbook_pivot_table!$B$2:$B$444,J70)&gt;5000),"High-Value Merchant Day",IF(AND(L70&lt;&gt;"East",SUMIFS(merchant_workbook_pivot_table!$D$2:$D$444,merchant_workbook_pivot_table!$C$2:$C$444,E70,merchant_workbook_pivot_table!$B$2:$B$444,J70)&gt;1000),"Mid-Value Merchant Day",""))</f>
        <v/>
      </c>
    </row>
    <row r="71">
      <c r="A71" s="3" t="s">
        <v>138</v>
      </c>
      <c r="B71" s="2">
        <v>343</v>
      </c>
      <c r="C71" s="2">
        <v>25</v>
      </c>
      <c r="D71" s="8" t="s">
        <v>693</v>
      </c>
      <c r="E71" s="6" t="str">
        <f t="shared" si="2"/>
        <v>2026-01-15</v>
      </c>
      <c r="F71" s="2">
        <v>49</v>
      </c>
      <c r="G71" s="3" t="s">
        <v>66</v>
      </c>
      <c r="H71" s="3" t="s">
        <v>64</v>
      </c>
      <c r="I71" s="2">
        <v>43</v>
      </c>
      <c r="J71" s="6" t="str">
        <f>_xlfn.IFNA(VLOOKUP(C71,merchants!$A$1:$D$41,2,0),"Merchant not found")</f>
        <v>Merchant_025</v>
      </c>
      <c r="K71" s="6" t="str">
        <f>_xlfn.IFNA(VLOOKUP(C71,merchants!$A$1:$D$41,3,0),"Merchant not found")</f>
        <v>travel</v>
      </c>
      <c r="L71" s="6" t="str">
        <f>_xlfn.IFNA(VLOOKUP(C71,merchants!$A$1:$D$41,4,0),"Merchant not found")</f>
        <v>South</v>
      </c>
      <c r="M71" s="9">
        <f t="shared" si="3"/>
        <v>0</v>
      </c>
      <c r="N71" s="6" t="str">
        <f>IF(AND(L71&lt;&gt;"East",SUMIFS(merchant_workbook_pivot_table!$D$2:$D$444,merchant_workbook_pivot_table!$C$2:$C$444,E71,merchant_workbook_pivot_table!$B$2:$B$444,J71)&gt;5000),"High-Value Merchant Day",IF(AND(L71&lt;&gt;"East",SUMIFS(merchant_workbook_pivot_table!$D$2:$D$444,merchant_workbook_pivot_table!$C$2:$C$444,E71,merchant_workbook_pivot_table!$B$2:$B$444,J71)&gt;1000),"Mid-Value Merchant Day",""))</f>
        <v/>
      </c>
    </row>
    <row r="72">
      <c r="A72" s="3" t="s">
        <v>139</v>
      </c>
      <c r="B72" s="2">
        <v>167</v>
      </c>
      <c r="C72" s="2">
        <v>12</v>
      </c>
      <c r="D72" s="8" t="s">
        <v>694</v>
      </c>
      <c r="E72" s="6" t="str">
        <f t="shared" si="2"/>
        <v>2026-01-01</v>
      </c>
      <c r="F72" s="2">
        <v>499</v>
      </c>
      <c r="G72" s="3" t="s">
        <v>63</v>
      </c>
      <c r="H72" s="3" t="s">
        <v>64</v>
      </c>
      <c r="I72" s="2">
        <v>62</v>
      </c>
      <c r="J72" s="6" t="str">
        <f>_xlfn.IFNA(VLOOKUP(C72,merchants!$A$1:$D$41,2,0),"Merchant not found")</f>
        <v>Merchant_012</v>
      </c>
      <c r="K72" s="6" t="str">
        <f>_xlfn.IFNA(VLOOKUP(C72,merchants!$A$1:$D$41,3,0),"Merchant not found")</f>
        <v>ecommerce</v>
      </c>
      <c r="L72" s="6" t="str">
        <f>_xlfn.IFNA(VLOOKUP(C72,merchants!$A$1:$D$41,4,0),"Merchant not found")</f>
        <v>East</v>
      </c>
      <c r="M72" s="9">
        <f t="shared" si="3"/>
        <v>7.4849999999999994</v>
      </c>
      <c r="N72" s="6" t="str">
        <f>IF(AND(L72&lt;&gt;"East",SUMIFS(merchant_workbook_pivot_table!$D$2:$D$444,merchant_workbook_pivot_table!$C$2:$C$444,E72,merchant_workbook_pivot_table!$B$2:$B$444,J72)&gt;5000),"High-Value Merchant Day",IF(AND(L72&lt;&gt;"East",SUMIFS(merchant_workbook_pivot_table!$D$2:$D$444,merchant_workbook_pivot_table!$C$2:$C$444,E72,merchant_workbook_pivot_table!$B$2:$B$444,J72)&gt;1000),"Mid-Value Merchant Day",""))</f>
        <v/>
      </c>
    </row>
    <row r="73">
      <c r="A73" s="3" t="s">
        <v>140</v>
      </c>
      <c r="B73" s="2">
        <v>133</v>
      </c>
      <c r="C73" s="2">
        <v>22</v>
      </c>
      <c r="D73" s="8" t="s">
        <v>695</v>
      </c>
      <c r="E73" s="6" t="str">
        <f t="shared" si="2"/>
        <v>2026-01-07</v>
      </c>
      <c r="F73" s="2">
        <v>499</v>
      </c>
      <c r="G73" s="3" t="s">
        <v>66</v>
      </c>
      <c r="H73" s="3" t="s">
        <v>64</v>
      </c>
      <c r="I73" s="2">
        <v>35</v>
      </c>
      <c r="J73" s="6" t="str">
        <f>_xlfn.IFNA(VLOOKUP(C73,merchants!$A$1:$D$41,2,0),"Merchant not found")</f>
        <v>Merchant_022</v>
      </c>
      <c r="K73" s="6" t="str">
        <f>_xlfn.IFNA(VLOOKUP(C73,merchants!$A$1:$D$41,3,0),"Merchant not found")</f>
        <v>travel</v>
      </c>
      <c r="L73" s="6" t="str">
        <f>_xlfn.IFNA(VLOOKUP(C73,merchants!$A$1:$D$41,4,0),"Merchant not found")</f>
        <v>South</v>
      </c>
      <c r="M73" s="9">
        <f t="shared" si="3"/>
        <v>0</v>
      </c>
      <c r="N73" s="6" t="str">
        <f>IF(AND(L73&lt;&gt;"East",SUMIFS(merchant_workbook_pivot_table!$D$2:$D$444,merchant_workbook_pivot_table!$C$2:$C$444,E73,merchant_workbook_pivot_table!$B$2:$B$444,J73)&gt;5000),"High-Value Merchant Day",IF(AND(L73&lt;&gt;"East",SUMIFS(merchant_workbook_pivot_table!$D$2:$D$444,merchant_workbook_pivot_table!$C$2:$C$444,E73,merchant_workbook_pivot_table!$B$2:$B$444,J73)&gt;1000),"Mid-Value Merchant Day",""))</f>
        <v/>
      </c>
    </row>
    <row r="74">
      <c r="A74" s="3" t="s">
        <v>141</v>
      </c>
      <c r="B74" s="2">
        <v>142</v>
      </c>
      <c r="C74" s="2">
        <v>36</v>
      </c>
      <c r="D74" s="8" t="s">
        <v>696</v>
      </c>
      <c r="E74" s="6" t="str">
        <f t="shared" si="2"/>
        <v>2026-01-29</v>
      </c>
      <c r="F74" s="2">
        <v>799</v>
      </c>
      <c r="G74" s="3" t="s">
        <v>63</v>
      </c>
      <c r="H74" s="3" t="s">
        <v>64</v>
      </c>
      <c r="I74" s="2">
        <v>1</v>
      </c>
      <c r="J74" s="6" t="str">
        <f>_xlfn.IFNA(VLOOKUP(C74,merchants!$A$1:$D$41,2,0),"Merchant not found")</f>
        <v>Merchant_036</v>
      </c>
      <c r="K74" s="6" t="str">
        <f>_xlfn.IFNA(VLOOKUP(C74,merchants!$A$1:$D$41,3,0),"Merchant not found")</f>
        <v>entertainment</v>
      </c>
      <c r="L74" s="6" t="str">
        <f>_xlfn.IFNA(VLOOKUP(C74,merchants!$A$1:$D$41,4,0),"Merchant not found")</f>
        <v>East</v>
      </c>
      <c r="M74" s="9">
        <f t="shared" si="3"/>
        <v>11.984999999999999</v>
      </c>
      <c r="N74" s="6" t="str">
        <f>IF(AND(L74&lt;&gt;"East",SUMIFS(merchant_workbook_pivot_table!$D$2:$D$444,merchant_workbook_pivot_table!$C$2:$C$444,E74,merchant_workbook_pivot_table!$B$2:$B$444,J74)&gt;5000),"High-Value Merchant Day",IF(AND(L74&lt;&gt;"East",SUMIFS(merchant_workbook_pivot_table!$D$2:$D$444,merchant_workbook_pivot_table!$C$2:$C$444,E74,merchant_workbook_pivot_table!$B$2:$B$444,J74)&gt;1000),"Mid-Value Merchant Day",""))</f>
        <v/>
      </c>
    </row>
    <row r="75">
      <c r="A75" s="3" t="s">
        <v>142</v>
      </c>
      <c r="B75" s="2">
        <v>124</v>
      </c>
      <c r="C75" s="2">
        <v>27</v>
      </c>
      <c r="D75" s="8" t="s">
        <v>697</v>
      </c>
      <c r="E75" s="6" t="str">
        <f t="shared" si="2"/>
        <v>2026-01-17</v>
      </c>
      <c r="F75" s="2">
        <v>499</v>
      </c>
      <c r="G75" s="3" t="s">
        <v>63</v>
      </c>
      <c r="H75" s="3" t="s">
        <v>64</v>
      </c>
      <c r="I75" s="2">
        <v>62</v>
      </c>
      <c r="J75" s="6" t="str">
        <f>_xlfn.IFNA(VLOOKUP(C75,merchants!$A$1:$D$41,2,0),"Merchant not found")</f>
        <v>Merchant_027</v>
      </c>
      <c r="K75" s="6" t="str">
        <f>_xlfn.IFNA(VLOOKUP(C75,merchants!$A$1:$D$41,3,0),"Merchant not found")</f>
        <v>ecommerce</v>
      </c>
      <c r="L75" s="6" t="str">
        <f>_xlfn.IFNA(VLOOKUP(C75,merchants!$A$1:$D$41,4,0),"Merchant not found")</f>
        <v>North</v>
      </c>
      <c r="M75" s="9">
        <f t="shared" si="3"/>
        <v>7.4849999999999994</v>
      </c>
      <c r="N75" s="6" t="str">
        <f>IF(AND(L75&lt;&gt;"East",SUMIFS(merchant_workbook_pivot_table!$D$2:$D$444,merchant_workbook_pivot_table!$C$2:$C$444,E75,merchant_workbook_pivot_table!$B$2:$B$444,J75)&gt;5000),"High-Value Merchant Day",IF(AND(L75&lt;&gt;"East",SUMIFS(merchant_workbook_pivot_table!$D$2:$D$444,merchant_workbook_pivot_table!$C$2:$C$444,E75,merchant_workbook_pivot_table!$B$2:$B$444,J75)&gt;1000),"Mid-Value Merchant Day",""))</f>
        <v xml:space="preserve">Mid-Value Merchant Day</v>
      </c>
    </row>
    <row r="76">
      <c r="A76" s="3" t="s">
        <v>143</v>
      </c>
      <c r="B76" s="2">
        <v>244</v>
      </c>
      <c r="C76" s="2">
        <v>32</v>
      </c>
      <c r="D76" s="8" t="s">
        <v>698</v>
      </c>
      <c r="E76" s="6" t="str">
        <f t="shared" si="2"/>
        <v>2026-01-18</v>
      </c>
      <c r="F76" s="2">
        <v>149</v>
      </c>
      <c r="G76" s="3" t="s">
        <v>66</v>
      </c>
      <c r="H76" s="3" t="s">
        <v>64</v>
      </c>
      <c r="I76" s="2">
        <v>57</v>
      </c>
      <c r="J76" s="6" t="str">
        <f>_xlfn.IFNA(VLOOKUP(C76,merchants!$A$1:$D$41,2,0),"Merchant not found")</f>
        <v>Merchant_032</v>
      </c>
      <c r="K76" s="6" t="str">
        <f>_xlfn.IFNA(VLOOKUP(C76,merchants!$A$1:$D$41,3,0),"Merchant not found")</f>
        <v>food_delivery</v>
      </c>
      <c r="L76" s="6" t="str">
        <f>_xlfn.IFNA(VLOOKUP(C76,merchants!$A$1:$D$41,4,0),"Merchant not found")</f>
        <v>West</v>
      </c>
      <c r="M76" s="9">
        <f t="shared" si="3"/>
        <v>0</v>
      </c>
      <c r="N76" s="6" t="str">
        <f>IF(AND(L76&lt;&gt;"East",SUMIFS(merchant_workbook_pivot_table!$D$2:$D$444,merchant_workbook_pivot_table!$C$2:$C$444,E76,merchant_workbook_pivot_table!$B$2:$B$444,J76)&gt;5000),"High-Value Merchant Day",IF(AND(L76&lt;&gt;"East",SUMIFS(merchant_workbook_pivot_table!$D$2:$D$444,merchant_workbook_pivot_table!$C$2:$C$444,E76,merchant_workbook_pivot_table!$B$2:$B$444,J76)&gt;1000),"Mid-Value Merchant Day",""))</f>
        <v/>
      </c>
    </row>
    <row r="77">
      <c r="A77" s="3" t="s">
        <v>144</v>
      </c>
      <c r="B77" s="2">
        <v>151</v>
      </c>
      <c r="C77" s="2">
        <v>15</v>
      </c>
      <c r="D77" s="8" t="s">
        <v>699</v>
      </c>
      <c r="E77" s="6" t="str">
        <f t="shared" si="2"/>
        <v>2026-01-26</v>
      </c>
      <c r="F77" s="2">
        <v>4999</v>
      </c>
      <c r="G77" s="3" t="s">
        <v>66</v>
      </c>
      <c r="H77" s="3" t="s">
        <v>64</v>
      </c>
      <c r="I77" s="2">
        <v>51</v>
      </c>
      <c r="J77" s="6" t="str">
        <f>_xlfn.IFNA(VLOOKUP(C77,merchants!$A$1:$D$41,2,0),"Merchant not found")</f>
        <v>Merchant_015</v>
      </c>
      <c r="K77" s="6" t="str">
        <f>_xlfn.IFNA(VLOOKUP(C77,merchants!$A$1:$D$41,3,0),"Merchant not found")</f>
        <v>travel</v>
      </c>
      <c r="L77" s="6" t="str">
        <f>_xlfn.IFNA(VLOOKUP(C77,merchants!$A$1:$D$41,4,0),"Merchant not found")</f>
        <v>North</v>
      </c>
      <c r="M77" s="9">
        <f t="shared" si="3"/>
        <v>0</v>
      </c>
      <c r="N77" s="6" t="str">
        <f>IF(AND(L77&lt;&gt;"East",SUMIFS(merchant_workbook_pivot_table!$D$2:$D$444,merchant_workbook_pivot_table!$C$2:$C$444,E77,merchant_workbook_pivot_table!$B$2:$B$444,J77)&gt;5000),"High-Value Merchant Day",IF(AND(L77&lt;&gt;"East",SUMIFS(merchant_workbook_pivot_table!$D$2:$D$444,merchant_workbook_pivot_table!$C$2:$C$444,E77,merchant_workbook_pivot_table!$B$2:$B$444,J77)&gt;1000),"Mid-Value Merchant Day",""))</f>
        <v xml:space="preserve">Mid-Value Merchant Day</v>
      </c>
    </row>
    <row r="78">
      <c r="A78" s="3" t="s">
        <v>145</v>
      </c>
      <c r="B78" s="2">
        <v>340</v>
      </c>
      <c r="C78" s="2">
        <v>38</v>
      </c>
      <c r="D78" s="8" t="s">
        <v>700</v>
      </c>
      <c r="E78" s="6" t="str">
        <f t="shared" si="2"/>
        <v>2026-01-23</v>
      </c>
      <c r="F78" s="2">
        <v>499</v>
      </c>
      <c r="G78" s="3" t="s">
        <v>78</v>
      </c>
      <c r="H78" s="3" t="s">
        <v>64</v>
      </c>
      <c r="I78" s="2">
        <v>47</v>
      </c>
      <c r="J78" s="6" t="str">
        <f>_xlfn.IFNA(VLOOKUP(C78,merchants!$A$1:$D$41,2,0),"Merchant not found")</f>
        <v>Merchant_038</v>
      </c>
      <c r="K78" s="6" t="str">
        <f>_xlfn.IFNA(VLOOKUP(C78,merchants!$A$1:$D$41,3,0),"Merchant not found")</f>
        <v>grocery</v>
      </c>
      <c r="L78" s="6" t="str">
        <f>_xlfn.IFNA(VLOOKUP(C78,merchants!$A$1:$D$41,4,0),"Merchant not found")</f>
        <v>East</v>
      </c>
      <c r="M78" s="9">
        <f t="shared" si="3"/>
        <v>9.9800000000000004</v>
      </c>
      <c r="N78" s="6" t="str">
        <f>IF(AND(L78&lt;&gt;"East",SUMIFS(merchant_workbook_pivot_table!$D$2:$D$444,merchant_workbook_pivot_table!$C$2:$C$444,E78,merchant_workbook_pivot_table!$B$2:$B$444,J78)&gt;5000),"High-Value Merchant Day",IF(AND(L78&lt;&gt;"East",SUMIFS(merchant_workbook_pivot_table!$D$2:$D$444,merchant_workbook_pivot_table!$C$2:$C$444,E78,merchant_workbook_pivot_table!$B$2:$B$444,J78)&gt;1000),"Mid-Value Merchant Day",""))</f>
        <v/>
      </c>
    </row>
    <row r="79">
      <c r="A79" s="3" t="s">
        <v>146</v>
      </c>
      <c r="B79" s="2">
        <v>177</v>
      </c>
      <c r="C79" s="2">
        <v>28</v>
      </c>
      <c r="D79" s="8" t="s">
        <v>701</v>
      </c>
      <c r="E79" s="6" t="str">
        <f t="shared" si="2"/>
        <v>2026-01-16</v>
      </c>
      <c r="F79" s="2">
        <v>299</v>
      </c>
      <c r="G79" s="3" t="s">
        <v>66</v>
      </c>
      <c r="H79" s="3" t="s">
        <v>64</v>
      </c>
      <c r="I79" s="2">
        <v>95</v>
      </c>
      <c r="J79" s="6" t="str">
        <f>_xlfn.IFNA(VLOOKUP(C79,merchants!$A$1:$D$41,2,0),"Merchant not found")</f>
        <v>Merchant_028</v>
      </c>
      <c r="K79" s="6" t="str">
        <f>_xlfn.IFNA(VLOOKUP(C79,merchants!$A$1:$D$41,3,0),"Merchant not found")</f>
        <v>ecommerce</v>
      </c>
      <c r="L79" s="6" t="str">
        <f>_xlfn.IFNA(VLOOKUP(C79,merchants!$A$1:$D$41,4,0),"Merchant not found")</f>
        <v>South</v>
      </c>
      <c r="M79" s="9">
        <f t="shared" si="3"/>
        <v>0</v>
      </c>
      <c r="N79" s="6" t="str">
        <f>IF(AND(L79&lt;&gt;"East",SUMIFS(merchant_workbook_pivot_table!$D$2:$D$444,merchant_workbook_pivot_table!$C$2:$C$444,E79,merchant_workbook_pivot_table!$B$2:$B$444,J79)&gt;5000),"High-Value Merchant Day",IF(AND(L79&lt;&gt;"East",SUMIFS(merchant_workbook_pivot_table!$D$2:$D$444,merchant_workbook_pivot_table!$C$2:$C$444,E79,merchant_workbook_pivot_table!$B$2:$B$444,J79)&gt;1000),"Mid-Value Merchant Day",""))</f>
        <v/>
      </c>
    </row>
    <row r="80">
      <c r="A80" s="3" t="s">
        <v>147</v>
      </c>
      <c r="B80" s="2">
        <v>233</v>
      </c>
      <c r="C80" s="2">
        <v>18</v>
      </c>
      <c r="D80" s="8" t="s">
        <v>702</v>
      </c>
      <c r="E80" s="6" t="str">
        <f t="shared" si="2"/>
        <v>2026-01-18</v>
      </c>
      <c r="F80" s="2">
        <v>499</v>
      </c>
      <c r="G80" s="3" t="s">
        <v>66</v>
      </c>
      <c r="H80" s="3" t="s">
        <v>64</v>
      </c>
      <c r="I80" s="2">
        <v>39</v>
      </c>
      <c r="J80" s="6" t="str">
        <f>_xlfn.IFNA(VLOOKUP(C80,merchants!$A$1:$D$41,2,0),"Merchant not found")</f>
        <v>Merchant_018</v>
      </c>
      <c r="K80" s="6" t="str">
        <f>_xlfn.IFNA(VLOOKUP(C80,merchants!$A$1:$D$41,3,0),"Merchant not found")</f>
        <v>grocery</v>
      </c>
      <c r="L80" s="6" t="str">
        <f>_xlfn.IFNA(VLOOKUP(C80,merchants!$A$1:$D$41,4,0),"Merchant not found")</f>
        <v>West</v>
      </c>
      <c r="M80" s="9">
        <f t="shared" si="3"/>
        <v>0</v>
      </c>
      <c r="N80" s="6" t="str">
        <f>IF(AND(L80&lt;&gt;"East",SUMIFS(merchant_workbook_pivot_table!$D$2:$D$444,merchant_workbook_pivot_table!$C$2:$C$444,E80,merchant_workbook_pivot_table!$B$2:$B$444,J80)&gt;5000),"High-Value Merchant Day",IF(AND(L80&lt;&gt;"East",SUMIFS(merchant_workbook_pivot_table!$D$2:$D$444,merchant_workbook_pivot_table!$C$2:$C$444,E80,merchant_workbook_pivot_table!$B$2:$B$444,J80)&gt;1000),"Mid-Value Merchant Day",""))</f>
        <v/>
      </c>
    </row>
    <row r="81">
      <c r="A81" s="3" t="s">
        <v>148</v>
      </c>
      <c r="B81" s="2">
        <v>99</v>
      </c>
      <c r="C81" s="2">
        <v>21</v>
      </c>
      <c r="D81" s="8" t="s">
        <v>703</v>
      </c>
      <c r="E81" s="6" t="str">
        <f t="shared" si="2"/>
        <v>2026-01-09</v>
      </c>
      <c r="F81" s="2">
        <v>499</v>
      </c>
      <c r="G81" s="3" t="s">
        <v>66</v>
      </c>
      <c r="H81" s="3" t="s">
        <v>64</v>
      </c>
      <c r="I81" s="2">
        <v>15</v>
      </c>
      <c r="J81" s="6" t="str">
        <f>_xlfn.IFNA(VLOOKUP(C81,merchants!$A$1:$D$41,2,0),"Merchant not found")</f>
        <v>Merchant_021</v>
      </c>
      <c r="K81" s="6" t="str">
        <f>_xlfn.IFNA(VLOOKUP(C81,merchants!$A$1:$D$41,3,0),"Merchant not found")</f>
        <v>food_delivery</v>
      </c>
      <c r="L81" s="6" t="str">
        <f>_xlfn.IFNA(VLOOKUP(C81,merchants!$A$1:$D$41,4,0),"Merchant not found")</f>
        <v>East</v>
      </c>
      <c r="M81" s="9">
        <f t="shared" si="3"/>
        <v>0</v>
      </c>
      <c r="N81" s="6" t="str">
        <f>IF(AND(L81&lt;&gt;"East",SUMIFS(merchant_workbook_pivot_table!$D$2:$D$444,merchant_workbook_pivot_table!$C$2:$C$444,E81,merchant_workbook_pivot_table!$B$2:$B$444,J81)&gt;5000),"High-Value Merchant Day",IF(AND(L81&lt;&gt;"East",SUMIFS(merchant_workbook_pivot_table!$D$2:$D$444,merchant_workbook_pivot_table!$C$2:$C$444,E81,merchant_workbook_pivot_table!$B$2:$B$444,J81)&gt;1000),"Mid-Value Merchant Day",""))</f>
        <v/>
      </c>
    </row>
    <row r="82">
      <c r="A82" s="3" t="s">
        <v>149</v>
      </c>
      <c r="B82" s="2">
        <v>95</v>
      </c>
      <c r="C82" s="2">
        <v>13</v>
      </c>
      <c r="D82" s="8" t="s">
        <v>704</v>
      </c>
      <c r="E82" s="6" t="str">
        <f t="shared" si="2"/>
        <v>2026-01-24</v>
      </c>
      <c r="F82" s="2">
        <v>2999</v>
      </c>
      <c r="G82" s="3" t="s">
        <v>69</v>
      </c>
      <c r="H82" s="3" t="s">
        <v>79</v>
      </c>
      <c r="I82" s="2">
        <v>27</v>
      </c>
      <c r="J82" s="6" t="str">
        <f>_xlfn.IFNA(VLOOKUP(C82,merchants!$A$1:$D$41,2,0),"Merchant not found")</f>
        <v>Merchant_013</v>
      </c>
      <c r="K82" s="6" t="str">
        <f>_xlfn.IFNA(VLOOKUP(C82,merchants!$A$1:$D$41,3,0),"Merchant not found")</f>
        <v>travel</v>
      </c>
      <c r="L82" s="6" t="str">
        <f>_xlfn.IFNA(VLOOKUP(C82,merchants!$A$1:$D$41,4,0),"Merchant not found")</f>
        <v>East</v>
      </c>
      <c r="M82" s="9">
        <f t="shared" si="3"/>
        <v>29.990000000000002</v>
      </c>
      <c r="N82" s="6" t="str">
        <f>IF(AND(L82&lt;&gt;"East",SUMIFS(merchant_workbook_pivot_table!$D$2:$D$444,merchant_workbook_pivot_table!$C$2:$C$444,E82,merchant_workbook_pivot_table!$B$2:$B$444,J82)&gt;5000),"High-Value Merchant Day",IF(AND(L82&lt;&gt;"East",SUMIFS(merchant_workbook_pivot_table!$D$2:$D$444,merchant_workbook_pivot_table!$C$2:$C$444,E82,merchant_workbook_pivot_table!$B$2:$B$444,J82)&gt;1000),"Mid-Value Merchant Day",""))</f>
        <v/>
      </c>
    </row>
    <row r="83">
      <c r="A83" s="3" t="s">
        <v>150</v>
      </c>
      <c r="B83" s="2">
        <v>302</v>
      </c>
      <c r="C83" s="2">
        <v>34</v>
      </c>
      <c r="D83" s="8" t="s">
        <v>705</v>
      </c>
      <c r="E83" s="6" t="str">
        <f t="shared" si="2"/>
        <v>2026-01-24</v>
      </c>
      <c r="F83" s="2">
        <v>49</v>
      </c>
      <c r="G83" s="3" t="s">
        <v>69</v>
      </c>
      <c r="H83" s="3" t="s">
        <v>64</v>
      </c>
      <c r="I83" s="2">
        <v>76</v>
      </c>
      <c r="J83" s="6" t="str">
        <f>_xlfn.IFNA(VLOOKUP(C83,merchants!$A$1:$D$41,2,0),"Merchant not found")</f>
        <v>Merchant_034</v>
      </c>
      <c r="K83" s="6" t="str">
        <f>_xlfn.IFNA(VLOOKUP(C83,merchants!$A$1:$D$41,3,0),"Merchant not found")</f>
        <v>travel</v>
      </c>
      <c r="L83" s="6" t="str">
        <f>_xlfn.IFNA(VLOOKUP(C83,merchants!$A$1:$D$41,4,0),"Merchant not found")</f>
        <v>South</v>
      </c>
      <c r="M83" s="9">
        <f t="shared" si="3"/>
        <v>0.48999999999999999</v>
      </c>
      <c r="N83" s="6" t="str">
        <f>IF(AND(L83&lt;&gt;"East",SUMIFS(merchant_workbook_pivot_table!$D$2:$D$444,merchant_workbook_pivot_table!$C$2:$C$444,E83,merchant_workbook_pivot_table!$B$2:$B$444,J83)&gt;5000),"High-Value Merchant Day",IF(AND(L83&lt;&gt;"East",SUMIFS(merchant_workbook_pivot_table!$D$2:$D$444,merchant_workbook_pivot_table!$C$2:$C$444,E83,merchant_workbook_pivot_table!$B$2:$B$444,J83)&gt;1000),"Mid-Value Merchant Day",""))</f>
        <v/>
      </c>
    </row>
    <row r="84">
      <c r="A84" s="3" t="s">
        <v>151</v>
      </c>
      <c r="B84" s="2">
        <v>100</v>
      </c>
      <c r="C84" s="2">
        <v>19</v>
      </c>
      <c r="D84" s="8" t="s">
        <v>706</v>
      </c>
      <c r="E84" s="6" t="str">
        <f t="shared" si="2"/>
        <v>2026-01-10</v>
      </c>
      <c r="F84" s="2">
        <v>2999</v>
      </c>
      <c r="G84" s="3" t="s">
        <v>69</v>
      </c>
      <c r="H84" s="3" t="s">
        <v>64</v>
      </c>
      <c r="I84" s="2">
        <v>29</v>
      </c>
      <c r="J84" s="6" t="str">
        <f>_xlfn.IFNA(VLOOKUP(C84,merchants!$A$1:$D$41,2,0),"Merchant not found")</f>
        <v>Merchant_019</v>
      </c>
      <c r="K84" s="6" t="str">
        <f>_xlfn.IFNA(VLOOKUP(C84,merchants!$A$1:$D$41,3,0),"Merchant not found")</f>
        <v>grocery</v>
      </c>
      <c r="L84" s="6" t="str">
        <f>_xlfn.IFNA(VLOOKUP(C84,merchants!$A$1:$D$41,4,0),"Merchant not found")</f>
        <v>North</v>
      </c>
      <c r="M84" s="9">
        <f t="shared" si="3"/>
        <v>29.990000000000002</v>
      </c>
      <c r="N84" s="6" t="str">
        <f>IF(AND(L84&lt;&gt;"East",SUMIFS(merchant_workbook_pivot_table!$D$2:$D$444,merchant_workbook_pivot_table!$C$2:$C$444,E84,merchant_workbook_pivot_table!$B$2:$B$444,J84)&gt;5000),"High-Value Merchant Day",IF(AND(L84&lt;&gt;"East",SUMIFS(merchant_workbook_pivot_table!$D$2:$D$444,merchant_workbook_pivot_table!$C$2:$C$444,E84,merchant_workbook_pivot_table!$B$2:$B$444,J84)&gt;1000),"Mid-Value Merchant Day",""))</f>
        <v xml:space="preserve">Mid-Value Merchant Day</v>
      </c>
    </row>
    <row r="85">
      <c r="A85" s="3" t="s">
        <v>152</v>
      </c>
      <c r="B85" s="2">
        <v>8</v>
      </c>
      <c r="C85" s="2">
        <v>35</v>
      </c>
      <c r="D85" s="8" t="s">
        <v>707</v>
      </c>
      <c r="E85" s="6" t="str">
        <f t="shared" si="2"/>
        <v>2026-01-12</v>
      </c>
      <c r="F85" s="2">
        <v>99</v>
      </c>
      <c r="G85" s="3" t="s">
        <v>66</v>
      </c>
      <c r="H85" s="3" t="s">
        <v>64</v>
      </c>
      <c r="I85" s="2">
        <v>16</v>
      </c>
      <c r="J85" s="6" t="str">
        <f>_xlfn.IFNA(VLOOKUP(C85,merchants!$A$1:$D$41,2,0),"Merchant not found")</f>
        <v>Merchant_035</v>
      </c>
      <c r="K85" s="6" t="str">
        <f>_xlfn.IFNA(VLOOKUP(C85,merchants!$A$1:$D$41,3,0),"Merchant not found")</f>
        <v>recharge</v>
      </c>
      <c r="L85" s="6" t="str">
        <f>_xlfn.IFNA(VLOOKUP(C85,merchants!$A$1:$D$41,4,0),"Merchant not found")</f>
        <v>East</v>
      </c>
      <c r="M85" s="9">
        <f t="shared" si="3"/>
        <v>0</v>
      </c>
      <c r="N85" s="6" t="str">
        <f>IF(AND(L85&lt;&gt;"East",SUMIFS(merchant_workbook_pivot_table!$D$2:$D$444,merchant_workbook_pivot_table!$C$2:$C$444,E85,merchant_workbook_pivot_table!$B$2:$B$444,J85)&gt;5000),"High-Value Merchant Day",IF(AND(L85&lt;&gt;"East",SUMIFS(merchant_workbook_pivot_table!$D$2:$D$444,merchant_workbook_pivot_table!$C$2:$C$444,E85,merchant_workbook_pivot_table!$B$2:$B$444,J85)&gt;1000),"Mid-Value Merchant Day",""))</f>
        <v/>
      </c>
    </row>
    <row r="86">
      <c r="A86" s="3" t="s">
        <v>153</v>
      </c>
      <c r="B86" s="2">
        <v>284</v>
      </c>
      <c r="C86" s="2">
        <v>19</v>
      </c>
      <c r="D86" s="8" t="s">
        <v>708</v>
      </c>
      <c r="E86" s="6" t="str">
        <f t="shared" si="2"/>
        <v>2026-01-09</v>
      </c>
      <c r="F86" s="2">
        <v>99</v>
      </c>
      <c r="G86" s="3" t="s">
        <v>66</v>
      </c>
      <c r="H86" s="3" t="s">
        <v>64</v>
      </c>
      <c r="I86" s="2">
        <v>89</v>
      </c>
      <c r="J86" s="6" t="str">
        <f>_xlfn.IFNA(VLOOKUP(C86,merchants!$A$1:$D$41,2,0),"Merchant not found")</f>
        <v>Merchant_019</v>
      </c>
      <c r="K86" s="6" t="str">
        <f>_xlfn.IFNA(VLOOKUP(C86,merchants!$A$1:$D$41,3,0),"Merchant not found")</f>
        <v>grocery</v>
      </c>
      <c r="L86" s="6" t="str">
        <f>_xlfn.IFNA(VLOOKUP(C86,merchants!$A$1:$D$41,4,0),"Merchant not found")</f>
        <v>North</v>
      </c>
      <c r="M86" s="9">
        <f t="shared" si="3"/>
        <v>0</v>
      </c>
      <c r="N86" s="6" t="str">
        <f>IF(AND(L86&lt;&gt;"East",SUMIFS(merchant_workbook_pivot_table!$D$2:$D$444,merchant_workbook_pivot_table!$C$2:$C$444,E86,merchant_workbook_pivot_table!$B$2:$B$444,J86)&gt;5000),"High-Value Merchant Day",IF(AND(L86&lt;&gt;"East",SUMIFS(merchant_workbook_pivot_table!$D$2:$D$444,merchant_workbook_pivot_table!$C$2:$C$444,E86,merchant_workbook_pivot_table!$B$2:$B$444,J86)&gt;1000),"Mid-Value Merchant Day",""))</f>
        <v/>
      </c>
    </row>
    <row r="87">
      <c r="A87" s="3" t="s">
        <v>154</v>
      </c>
      <c r="B87" s="2">
        <v>252</v>
      </c>
      <c r="C87" s="2">
        <v>7</v>
      </c>
      <c r="D87" s="8" t="s">
        <v>709</v>
      </c>
      <c r="E87" s="6" t="str">
        <f t="shared" si="2"/>
        <v>2026-01-05</v>
      </c>
      <c r="F87" s="2">
        <v>2999</v>
      </c>
      <c r="G87" s="3" t="s">
        <v>63</v>
      </c>
      <c r="H87" s="3" t="s">
        <v>64</v>
      </c>
      <c r="I87" s="2">
        <v>1</v>
      </c>
      <c r="J87" s="6" t="str">
        <f>_xlfn.IFNA(VLOOKUP(C87,merchants!$A$1:$D$41,2,0),"Merchant not found")</f>
        <v>Merchant_007</v>
      </c>
      <c r="K87" s="6" t="str">
        <f>_xlfn.IFNA(VLOOKUP(C87,merchants!$A$1:$D$41,3,0),"Merchant not found")</f>
        <v>food_delivery</v>
      </c>
      <c r="L87" s="6" t="str">
        <f>_xlfn.IFNA(VLOOKUP(C87,merchants!$A$1:$D$41,4,0),"Merchant not found")</f>
        <v>East</v>
      </c>
      <c r="M87" s="9">
        <f t="shared" si="3"/>
        <v>44.984999999999999</v>
      </c>
      <c r="N87" s="6" t="str">
        <f>IF(AND(L87&lt;&gt;"East",SUMIFS(merchant_workbook_pivot_table!$D$2:$D$444,merchant_workbook_pivot_table!$C$2:$C$444,E87,merchant_workbook_pivot_table!$B$2:$B$444,J87)&gt;5000),"High-Value Merchant Day",IF(AND(L87&lt;&gt;"East",SUMIFS(merchant_workbook_pivot_table!$D$2:$D$444,merchant_workbook_pivot_table!$C$2:$C$444,E87,merchant_workbook_pivot_table!$B$2:$B$444,J87)&gt;1000),"Mid-Value Merchant Day",""))</f>
        <v/>
      </c>
    </row>
    <row r="88">
      <c r="A88" s="3" t="s">
        <v>155</v>
      </c>
      <c r="B88" s="2">
        <v>246</v>
      </c>
      <c r="C88" s="2">
        <v>29</v>
      </c>
      <c r="D88" s="8" t="s">
        <v>710</v>
      </c>
      <c r="E88" s="6" t="str">
        <f t="shared" si="2"/>
        <v>2026-01-19</v>
      </c>
      <c r="F88" s="2">
        <v>49</v>
      </c>
      <c r="G88" s="3" t="s">
        <v>63</v>
      </c>
      <c r="H88" s="3" t="s">
        <v>64</v>
      </c>
      <c r="I88" s="2">
        <v>43</v>
      </c>
      <c r="J88" s="6" t="str">
        <f>_xlfn.IFNA(VLOOKUP(C88,merchants!$A$1:$D$41,2,0),"Merchant not found")</f>
        <v>Merchant_029</v>
      </c>
      <c r="K88" s="6" t="str">
        <f>_xlfn.IFNA(VLOOKUP(C88,merchants!$A$1:$D$41,3,0),"Merchant not found")</f>
        <v>ecommerce</v>
      </c>
      <c r="L88" s="6" t="str">
        <f>_xlfn.IFNA(VLOOKUP(C88,merchants!$A$1:$D$41,4,0),"Merchant not found")</f>
        <v>North</v>
      </c>
      <c r="M88" s="9">
        <f t="shared" si="3"/>
        <v>0.73499999999999999</v>
      </c>
      <c r="N88" s="6" t="str">
        <f>IF(AND(L88&lt;&gt;"East",SUMIFS(merchant_workbook_pivot_table!$D$2:$D$444,merchant_workbook_pivot_table!$C$2:$C$444,E88,merchant_workbook_pivot_table!$B$2:$B$444,J88)&gt;5000),"High-Value Merchant Day",IF(AND(L88&lt;&gt;"East",SUMIFS(merchant_workbook_pivot_table!$D$2:$D$444,merchant_workbook_pivot_table!$C$2:$C$444,E88,merchant_workbook_pivot_table!$B$2:$B$444,J88)&gt;1000),"Mid-Value Merchant Day",""))</f>
        <v/>
      </c>
    </row>
    <row r="89">
      <c r="A89" s="3" t="s">
        <v>156</v>
      </c>
      <c r="B89" s="2">
        <v>245</v>
      </c>
      <c r="C89" s="2">
        <v>8</v>
      </c>
      <c r="D89" s="8" t="s">
        <v>711</v>
      </c>
      <c r="E89" s="6" t="str">
        <f t="shared" si="2"/>
        <v>2026-01-06</v>
      </c>
      <c r="F89" s="2">
        <v>49</v>
      </c>
      <c r="G89" s="3" t="s">
        <v>66</v>
      </c>
      <c r="H89" s="3" t="s">
        <v>92</v>
      </c>
      <c r="I89" s="2">
        <v>8</v>
      </c>
      <c r="J89" s="6" t="str">
        <f>_xlfn.IFNA(VLOOKUP(C89,merchants!$A$1:$D$41,2,0),"Merchant not found")</f>
        <v>Merchant_008</v>
      </c>
      <c r="K89" s="6" t="str">
        <f>_xlfn.IFNA(VLOOKUP(C89,merchants!$A$1:$D$41,3,0),"Merchant not found")</f>
        <v>food_delivery</v>
      </c>
      <c r="L89" s="6" t="str">
        <f>_xlfn.IFNA(VLOOKUP(C89,merchants!$A$1:$D$41,4,0),"Merchant not found")</f>
        <v>North</v>
      </c>
      <c r="M89" s="9">
        <f t="shared" si="3"/>
        <v>0</v>
      </c>
      <c r="N89" s="6" t="str">
        <f>IF(AND(L89&lt;&gt;"East",SUMIFS(merchant_workbook_pivot_table!$D$2:$D$444,merchant_workbook_pivot_table!$C$2:$C$444,E89,merchant_workbook_pivot_table!$B$2:$B$444,J89)&gt;5000),"High-Value Merchant Day",IF(AND(L89&lt;&gt;"East",SUMIFS(merchant_workbook_pivot_table!$D$2:$D$444,merchant_workbook_pivot_table!$C$2:$C$444,E89,merchant_workbook_pivot_table!$B$2:$B$444,J89)&gt;1000),"Mid-Value Merchant Day",""))</f>
        <v/>
      </c>
    </row>
    <row r="90">
      <c r="A90" s="3" t="s">
        <v>157</v>
      </c>
      <c r="B90" s="2">
        <v>296</v>
      </c>
      <c r="C90" s="2">
        <v>4</v>
      </c>
      <c r="D90" s="8" t="s">
        <v>712</v>
      </c>
      <c r="E90" s="6" t="str">
        <f t="shared" si="2"/>
        <v>2026-01-13</v>
      </c>
      <c r="F90" s="2">
        <v>799</v>
      </c>
      <c r="G90" s="3" t="s">
        <v>63</v>
      </c>
      <c r="H90" s="3" t="s">
        <v>64</v>
      </c>
      <c r="I90" s="2">
        <v>19</v>
      </c>
      <c r="J90" s="6" t="str">
        <f>_xlfn.IFNA(VLOOKUP(C90,merchants!$A$1:$D$41,2,0),"Merchant not found")</f>
        <v>Merchant_004</v>
      </c>
      <c r="K90" s="6" t="str">
        <f>_xlfn.IFNA(VLOOKUP(C90,merchants!$A$1:$D$41,3,0),"Merchant not found")</f>
        <v>ecommerce</v>
      </c>
      <c r="L90" s="6" t="str">
        <f>_xlfn.IFNA(VLOOKUP(C90,merchants!$A$1:$D$41,4,0),"Merchant not found")</f>
        <v>East</v>
      </c>
      <c r="M90" s="9">
        <f t="shared" si="3"/>
        <v>11.984999999999999</v>
      </c>
      <c r="N90" s="6" t="str">
        <f>IF(AND(L90&lt;&gt;"East",SUMIFS(merchant_workbook_pivot_table!$D$2:$D$444,merchant_workbook_pivot_table!$C$2:$C$444,E90,merchant_workbook_pivot_table!$B$2:$B$444,J90)&gt;5000),"High-Value Merchant Day",IF(AND(L90&lt;&gt;"East",SUMIFS(merchant_workbook_pivot_table!$D$2:$D$444,merchant_workbook_pivot_table!$C$2:$C$444,E90,merchant_workbook_pivot_table!$B$2:$B$444,J90)&gt;1000),"Mid-Value Merchant Day",""))</f>
        <v/>
      </c>
    </row>
    <row r="91">
      <c r="A91" s="3" t="s">
        <v>158</v>
      </c>
      <c r="B91" s="2">
        <v>44</v>
      </c>
      <c r="C91" s="2">
        <v>16</v>
      </c>
      <c r="D91" s="8" t="s">
        <v>713</v>
      </c>
      <c r="E91" s="6" t="str">
        <f t="shared" si="2"/>
        <v>2026-01-05</v>
      </c>
      <c r="F91" s="2">
        <v>149</v>
      </c>
      <c r="G91" s="3" t="s">
        <v>66</v>
      </c>
      <c r="H91" s="3" t="s">
        <v>64</v>
      </c>
      <c r="I91" s="2">
        <v>15</v>
      </c>
      <c r="J91" s="6" t="str">
        <f>_xlfn.IFNA(VLOOKUP(C91,merchants!$A$1:$D$41,2,0),"Merchant not found")</f>
        <v>Merchant_016</v>
      </c>
      <c r="K91" s="6" t="str">
        <f>_xlfn.IFNA(VLOOKUP(C91,merchants!$A$1:$D$41,3,0),"Merchant not found")</f>
        <v>bill_payment</v>
      </c>
      <c r="L91" s="6" t="str">
        <f>_xlfn.IFNA(VLOOKUP(C91,merchants!$A$1:$D$41,4,0),"Merchant not found")</f>
        <v>West</v>
      </c>
      <c r="M91" s="9">
        <f t="shared" si="3"/>
        <v>0</v>
      </c>
      <c r="N91" s="6" t="str">
        <f>IF(AND(L91&lt;&gt;"East",SUMIFS(merchant_workbook_pivot_table!$D$2:$D$444,merchant_workbook_pivot_table!$C$2:$C$444,E91,merchant_workbook_pivot_table!$B$2:$B$444,J91)&gt;5000),"High-Value Merchant Day",IF(AND(L91&lt;&gt;"East",SUMIFS(merchant_workbook_pivot_table!$D$2:$D$444,merchant_workbook_pivot_table!$C$2:$C$444,E91,merchant_workbook_pivot_table!$B$2:$B$444,J91)&gt;1000),"Mid-Value Merchant Day",""))</f>
        <v/>
      </c>
    </row>
    <row r="92">
      <c r="A92" s="3" t="s">
        <v>159</v>
      </c>
      <c r="B92" s="2">
        <v>306</v>
      </c>
      <c r="C92" s="2">
        <v>40</v>
      </c>
      <c r="D92" s="8" t="s">
        <v>714</v>
      </c>
      <c r="E92" s="6" t="str">
        <f t="shared" si="2"/>
        <v>2026-01-18</v>
      </c>
      <c r="F92" s="2">
        <v>799</v>
      </c>
      <c r="G92" s="3" t="s">
        <v>78</v>
      </c>
      <c r="H92" s="3" t="s">
        <v>64</v>
      </c>
      <c r="I92" s="2">
        <v>28</v>
      </c>
      <c r="J92" s="6" t="str">
        <f>_xlfn.IFNA(VLOOKUP(C92,merchants!$A$1:$D$41,2,0),"Merchant not found")</f>
        <v>Merchant_040</v>
      </c>
      <c r="K92" s="6" t="str">
        <f>_xlfn.IFNA(VLOOKUP(C92,merchants!$A$1:$D$41,3,0),"Merchant not found")</f>
        <v>entertainment</v>
      </c>
      <c r="L92" s="6" t="str">
        <f>_xlfn.IFNA(VLOOKUP(C92,merchants!$A$1:$D$41,4,0),"Merchant not found")</f>
        <v>South</v>
      </c>
      <c r="M92" s="9">
        <f t="shared" si="3"/>
        <v>15.98</v>
      </c>
      <c r="N92" s="6" t="str">
        <f>IF(AND(L92&lt;&gt;"East",SUMIFS(merchant_workbook_pivot_table!$D$2:$D$444,merchant_workbook_pivot_table!$C$2:$C$444,E92,merchant_workbook_pivot_table!$B$2:$B$444,J92)&gt;5000),"High-Value Merchant Day",IF(AND(L92&lt;&gt;"East",SUMIFS(merchant_workbook_pivot_table!$D$2:$D$444,merchant_workbook_pivot_table!$C$2:$C$444,E92,merchant_workbook_pivot_table!$B$2:$B$444,J92)&gt;1000),"Mid-Value Merchant Day",""))</f>
        <v/>
      </c>
    </row>
    <row r="93">
      <c r="A93" s="3" t="s">
        <v>160</v>
      </c>
      <c r="B93" s="2">
        <v>231</v>
      </c>
      <c r="C93" s="2">
        <v>29</v>
      </c>
      <c r="D93" s="8" t="s">
        <v>715</v>
      </c>
      <c r="E93" s="6" t="str">
        <f t="shared" si="2"/>
        <v>2026-01-25</v>
      </c>
      <c r="F93" s="2">
        <v>299</v>
      </c>
      <c r="G93" s="3" t="s">
        <v>66</v>
      </c>
      <c r="H93" s="3" t="s">
        <v>64</v>
      </c>
      <c r="I93" s="2">
        <v>38</v>
      </c>
      <c r="J93" s="6" t="str">
        <f>_xlfn.IFNA(VLOOKUP(C93,merchants!$A$1:$D$41,2,0),"Merchant not found")</f>
        <v>Merchant_029</v>
      </c>
      <c r="K93" s="6" t="str">
        <f>_xlfn.IFNA(VLOOKUP(C93,merchants!$A$1:$D$41,3,0),"Merchant not found")</f>
        <v>ecommerce</v>
      </c>
      <c r="L93" s="6" t="str">
        <f>_xlfn.IFNA(VLOOKUP(C93,merchants!$A$1:$D$41,4,0),"Merchant not found")</f>
        <v>North</v>
      </c>
      <c r="M93" s="9">
        <f t="shared" si="3"/>
        <v>0</v>
      </c>
      <c r="N93" s="6" t="str">
        <f>IF(AND(L93&lt;&gt;"East",SUMIFS(merchant_workbook_pivot_table!$D$2:$D$444,merchant_workbook_pivot_table!$C$2:$C$444,E93,merchant_workbook_pivot_table!$B$2:$B$444,J93)&gt;5000),"High-Value Merchant Day",IF(AND(L93&lt;&gt;"East",SUMIFS(merchant_workbook_pivot_table!$D$2:$D$444,merchant_workbook_pivot_table!$C$2:$C$444,E93,merchant_workbook_pivot_table!$B$2:$B$444,J93)&gt;1000),"Mid-Value Merchant Day",""))</f>
        <v xml:space="preserve">Mid-Value Merchant Day</v>
      </c>
    </row>
    <row r="94">
      <c r="A94" s="3" t="s">
        <v>161</v>
      </c>
      <c r="B94" s="2">
        <v>157</v>
      </c>
      <c r="C94" s="2">
        <v>37</v>
      </c>
      <c r="D94" s="8" t="s">
        <v>716</v>
      </c>
      <c r="E94" s="6" t="str">
        <f t="shared" si="2"/>
        <v>2026-01-28</v>
      </c>
      <c r="F94" s="2">
        <v>499</v>
      </c>
      <c r="G94" s="3" t="s">
        <v>63</v>
      </c>
      <c r="H94" s="3" t="s">
        <v>64</v>
      </c>
      <c r="I94" s="2">
        <v>79</v>
      </c>
      <c r="J94" s="6" t="str">
        <f>_xlfn.IFNA(VLOOKUP(C94,merchants!$A$1:$D$41,2,0),"Merchant not found")</f>
        <v>Merchant_037</v>
      </c>
      <c r="K94" s="6" t="str">
        <f>_xlfn.IFNA(VLOOKUP(C94,merchants!$A$1:$D$41,3,0),"Merchant not found")</f>
        <v>entertainment</v>
      </c>
      <c r="L94" s="6" t="str">
        <f>_xlfn.IFNA(VLOOKUP(C94,merchants!$A$1:$D$41,4,0),"Merchant not found")</f>
        <v>South</v>
      </c>
      <c r="M94" s="9">
        <f t="shared" si="3"/>
        <v>7.4849999999999994</v>
      </c>
      <c r="N94" s="6" t="str">
        <f>IF(AND(L94&lt;&gt;"East",SUMIFS(merchant_workbook_pivot_table!$D$2:$D$444,merchant_workbook_pivot_table!$C$2:$C$444,E94,merchant_workbook_pivot_table!$B$2:$B$444,J94)&gt;5000),"High-Value Merchant Day",IF(AND(L94&lt;&gt;"East",SUMIFS(merchant_workbook_pivot_table!$D$2:$D$444,merchant_workbook_pivot_table!$C$2:$C$444,E94,merchant_workbook_pivot_table!$B$2:$B$444,J94)&gt;1000),"Mid-Value Merchant Day",""))</f>
        <v/>
      </c>
    </row>
    <row r="95">
      <c r="A95" s="3" t="s">
        <v>162</v>
      </c>
      <c r="B95" s="2">
        <v>51</v>
      </c>
      <c r="C95" s="2">
        <v>14</v>
      </c>
      <c r="D95" s="8" t="s">
        <v>717</v>
      </c>
      <c r="E95" s="6" t="str">
        <f t="shared" si="2"/>
        <v>2026-01-02</v>
      </c>
      <c r="F95" s="2">
        <v>1499</v>
      </c>
      <c r="G95" s="3" t="s">
        <v>66</v>
      </c>
      <c r="H95" s="3" t="s">
        <v>64</v>
      </c>
      <c r="I95" s="2">
        <v>80</v>
      </c>
      <c r="J95" s="6" t="str">
        <f>_xlfn.IFNA(VLOOKUP(C95,merchants!$A$1:$D$41,2,0),"Merchant not found")</f>
        <v>Merchant_014</v>
      </c>
      <c r="K95" s="6" t="str">
        <f>_xlfn.IFNA(VLOOKUP(C95,merchants!$A$1:$D$41,3,0),"Merchant not found")</f>
        <v>grocery</v>
      </c>
      <c r="L95" s="6" t="str">
        <f>_xlfn.IFNA(VLOOKUP(C95,merchants!$A$1:$D$41,4,0),"Merchant not found")</f>
        <v>East</v>
      </c>
      <c r="M95" s="9">
        <f t="shared" si="3"/>
        <v>0</v>
      </c>
      <c r="N95" s="6" t="str">
        <f>IF(AND(L95&lt;&gt;"East",SUMIFS(merchant_workbook_pivot_table!$D$2:$D$444,merchant_workbook_pivot_table!$C$2:$C$444,E95,merchant_workbook_pivot_table!$B$2:$B$444,J95)&gt;5000),"High-Value Merchant Day",IF(AND(L95&lt;&gt;"East",SUMIFS(merchant_workbook_pivot_table!$D$2:$D$444,merchant_workbook_pivot_table!$C$2:$C$444,E95,merchant_workbook_pivot_table!$B$2:$B$444,J95)&gt;1000),"Mid-Value Merchant Day",""))</f>
        <v/>
      </c>
    </row>
    <row r="96">
      <c r="A96" s="3" t="s">
        <v>163</v>
      </c>
      <c r="B96" s="2">
        <v>42</v>
      </c>
      <c r="C96" s="2">
        <v>11</v>
      </c>
      <c r="D96" s="8" t="s">
        <v>718</v>
      </c>
      <c r="E96" s="6" t="str">
        <f t="shared" si="2"/>
        <v>2026-01-07</v>
      </c>
      <c r="F96" s="2">
        <v>49</v>
      </c>
      <c r="G96" s="3" t="s">
        <v>63</v>
      </c>
      <c r="H96" s="3" t="s">
        <v>64</v>
      </c>
      <c r="I96" s="2">
        <v>30</v>
      </c>
      <c r="J96" s="6" t="str">
        <f>_xlfn.IFNA(VLOOKUP(C96,merchants!$A$1:$D$41,2,0),"Merchant not found")</f>
        <v>Merchant_011</v>
      </c>
      <c r="K96" s="6" t="str">
        <f>_xlfn.IFNA(VLOOKUP(C96,merchants!$A$1:$D$41,3,0),"Merchant not found")</f>
        <v>ecommerce</v>
      </c>
      <c r="L96" s="6" t="str">
        <f>_xlfn.IFNA(VLOOKUP(C96,merchants!$A$1:$D$41,4,0),"Merchant not found")</f>
        <v>North</v>
      </c>
      <c r="M96" s="9">
        <f t="shared" si="3"/>
        <v>0.73499999999999999</v>
      </c>
      <c r="N96" s="6" t="str">
        <f>IF(AND(L96&lt;&gt;"East",SUMIFS(merchant_workbook_pivot_table!$D$2:$D$444,merchant_workbook_pivot_table!$C$2:$C$444,E96,merchant_workbook_pivot_table!$B$2:$B$444,J96)&gt;5000),"High-Value Merchant Day",IF(AND(L96&lt;&gt;"East",SUMIFS(merchant_workbook_pivot_table!$D$2:$D$444,merchant_workbook_pivot_table!$C$2:$C$444,E96,merchant_workbook_pivot_table!$B$2:$B$444,J96)&gt;1000),"Mid-Value Merchant Day",""))</f>
        <v/>
      </c>
    </row>
    <row r="97">
      <c r="A97" s="3" t="s">
        <v>164</v>
      </c>
      <c r="B97" s="2">
        <v>81</v>
      </c>
      <c r="C97" s="2">
        <v>1</v>
      </c>
      <c r="D97" s="8" t="s">
        <v>719</v>
      </c>
      <c r="E97" s="6" t="str">
        <f t="shared" si="2"/>
        <v>2026-01-06</v>
      </c>
      <c r="F97" s="2">
        <v>149</v>
      </c>
      <c r="G97" s="3" t="s">
        <v>66</v>
      </c>
      <c r="H97" s="3" t="s">
        <v>64</v>
      </c>
      <c r="I97" s="2">
        <v>52</v>
      </c>
      <c r="J97" s="6" t="str">
        <f>_xlfn.IFNA(VLOOKUP(C97,merchants!$A$1:$D$41,2,0),"Merchant not found")</f>
        <v>Merchant_001</v>
      </c>
      <c r="K97" s="6" t="str">
        <f>_xlfn.IFNA(VLOOKUP(C97,merchants!$A$1:$D$41,3,0),"Merchant not found")</f>
        <v>ecommerce</v>
      </c>
      <c r="L97" s="6" t="str">
        <f>_xlfn.IFNA(VLOOKUP(C97,merchants!$A$1:$D$41,4,0),"Merchant not found")</f>
        <v>South</v>
      </c>
      <c r="M97" s="9">
        <f t="shared" si="3"/>
        <v>0</v>
      </c>
      <c r="N97" s="6" t="str">
        <f>IF(AND(L97&lt;&gt;"East",SUMIFS(merchant_workbook_pivot_table!$D$2:$D$444,merchant_workbook_pivot_table!$C$2:$C$444,E97,merchant_workbook_pivot_table!$B$2:$B$444,J97)&gt;5000),"High-Value Merchant Day",IF(AND(L97&lt;&gt;"East",SUMIFS(merchant_workbook_pivot_table!$D$2:$D$444,merchant_workbook_pivot_table!$C$2:$C$444,E97,merchant_workbook_pivot_table!$B$2:$B$444,J97)&gt;1000),"Mid-Value Merchant Day",""))</f>
        <v/>
      </c>
    </row>
    <row r="98">
      <c r="A98" s="3" t="s">
        <v>165</v>
      </c>
      <c r="B98" s="2">
        <v>241</v>
      </c>
      <c r="C98" s="2">
        <v>19</v>
      </c>
      <c r="D98" s="8" t="s">
        <v>720</v>
      </c>
      <c r="E98" s="6" t="str">
        <f t="shared" si="2"/>
        <v>2026-01-15</v>
      </c>
      <c r="F98" s="2">
        <v>299</v>
      </c>
      <c r="G98" s="3" t="s">
        <v>66</v>
      </c>
      <c r="H98" s="3" t="s">
        <v>64</v>
      </c>
      <c r="I98" s="2">
        <v>4</v>
      </c>
      <c r="J98" s="6" t="str">
        <f>_xlfn.IFNA(VLOOKUP(C98,merchants!$A$1:$D$41,2,0),"Merchant not found")</f>
        <v>Merchant_019</v>
      </c>
      <c r="K98" s="6" t="str">
        <f>_xlfn.IFNA(VLOOKUP(C98,merchants!$A$1:$D$41,3,0),"Merchant not found")</f>
        <v>grocery</v>
      </c>
      <c r="L98" s="6" t="str">
        <f>_xlfn.IFNA(VLOOKUP(C98,merchants!$A$1:$D$41,4,0),"Merchant not found")</f>
        <v>North</v>
      </c>
      <c r="M98" s="9">
        <f t="shared" si="3"/>
        <v>0</v>
      </c>
      <c r="N98" s="6" t="str">
        <f>IF(AND(L98&lt;&gt;"East",SUMIFS(merchant_workbook_pivot_table!$D$2:$D$444,merchant_workbook_pivot_table!$C$2:$C$444,E98,merchant_workbook_pivot_table!$B$2:$B$444,J98)&gt;5000),"High-Value Merchant Day",IF(AND(L98&lt;&gt;"East",SUMIFS(merchant_workbook_pivot_table!$D$2:$D$444,merchant_workbook_pivot_table!$C$2:$C$444,E98,merchant_workbook_pivot_table!$B$2:$B$444,J98)&gt;1000),"Mid-Value Merchant Day",""))</f>
        <v/>
      </c>
    </row>
    <row r="99">
      <c r="A99" s="3" t="s">
        <v>166</v>
      </c>
      <c r="B99" s="2">
        <v>145</v>
      </c>
      <c r="C99" s="2">
        <v>30</v>
      </c>
      <c r="D99" s="8" t="s">
        <v>721</v>
      </c>
      <c r="E99" s="6" t="str">
        <f t="shared" si="2"/>
        <v>2026-01-08</v>
      </c>
      <c r="F99" s="2">
        <v>799</v>
      </c>
      <c r="G99" s="3" t="s">
        <v>66</v>
      </c>
      <c r="H99" s="3" t="s">
        <v>64</v>
      </c>
      <c r="I99" s="2">
        <v>9</v>
      </c>
      <c r="J99" s="6" t="str">
        <f>_xlfn.IFNA(VLOOKUP(C99,merchants!$A$1:$D$41,2,0),"Merchant not found")</f>
        <v>Merchant_030</v>
      </c>
      <c r="K99" s="6" t="str">
        <f>_xlfn.IFNA(VLOOKUP(C99,merchants!$A$1:$D$41,3,0),"Merchant not found")</f>
        <v>travel</v>
      </c>
      <c r="L99" s="6" t="str">
        <f>_xlfn.IFNA(VLOOKUP(C99,merchants!$A$1:$D$41,4,0),"Merchant not found")</f>
        <v>West</v>
      </c>
      <c r="M99" s="9">
        <f t="shared" si="3"/>
        <v>0</v>
      </c>
      <c r="N99" s="6" t="str">
        <f>IF(AND(L99&lt;&gt;"East",SUMIFS(merchant_workbook_pivot_table!$D$2:$D$444,merchant_workbook_pivot_table!$C$2:$C$444,E99,merchant_workbook_pivot_table!$B$2:$B$444,J99)&gt;5000),"High-Value Merchant Day",IF(AND(L99&lt;&gt;"East",SUMIFS(merchant_workbook_pivot_table!$D$2:$D$444,merchant_workbook_pivot_table!$C$2:$C$444,E99,merchant_workbook_pivot_table!$B$2:$B$444,J99)&gt;1000),"Mid-Value Merchant Day",""))</f>
        <v xml:space="preserve">Mid-Value Merchant Day</v>
      </c>
    </row>
    <row r="100">
      <c r="A100" s="3" t="s">
        <v>167</v>
      </c>
      <c r="B100" s="2">
        <v>136</v>
      </c>
      <c r="C100" s="2">
        <v>38</v>
      </c>
      <c r="D100" s="8" t="s">
        <v>722</v>
      </c>
      <c r="E100" s="6" t="str">
        <f t="shared" si="2"/>
        <v>2026-01-22</v>
      </c>
      <c r="F100" s="2">
        <v>299</v>
      </c>
      <c r="G100" s="3" t="s">
        <v>78</v>
      </c>
      <c r="H100" s="3" t="s">
        <v>64</v>
      </c>
      <c r="I100" s="2">
        <v>84</v>
      </c>
      <c r="J100" s="6" t="str">
        <f>_xlfn.IFNA(VLOOKUP(C100,merchants!$A$1:$D$41,2,0),"Merchant not found")</f>
        <v>Merchant_038</v>
      </c>
      <c r="K100" s="6" t="str">
        <f>_xlfn.IFNA(VLOOKUP(C100,merchants!$A$1:$D$41,3,0),"Merchant not found")</f>
        <v>grocery</v>
      </c>
      <c r="L100" s="6" t="str">
        <f>_xlfn.IFNA(VLOOKUP(C100,merchants!$A$1:$D$41,4,0),"Merchant not found")</f>
        <v>East</v>
      </c>
      <c r="M100" s="9">
        <f t="shared" si="3"/>
        <v>5.9800000000000004</v>
      </c>
      <c r="N100" s="6" t="str">
        <f>IF(AND(L100&lt;&gt;"East",SUMIFS(merchant_workbook_pivot_table!$D$2:$D$444,merchant_workbook_pivot_table!$C$2:$C$444,E100,merchant_workbook_pivot_table!$B$2:$B$444,J100)&gt;5000),"High-Value Merchant Day",IF(AND(L100&lt;&gt;"East",SUMIFS(merchant_workbook_pivot_table!$D$2:$D$444,merchant_workbook_pivot_table!$C$2:$C$444,E100,merchant_workbook_pivot_table!$B$2:$B$444,J100)&gt;1000),"Mid-Value Merchant Day",""))</f>
        <v/>
      </c>
    </row>
    <row r="101">
      <c r="A101" s="3" t="s">
        <v>168</v>
      </c>
      <c r="B101" s="2">
        <v>59</v>
      </c>
      <c r="C101" s="2">
        <v>35</v>
      </c>
      <c r="D101" s="8" t="s">
        <v>723</v>
      </c>
      <c r="E101" s="6" t="str">
        <f t="shared" si="2"/>
        <v>2026-01-26</v>
      </c>
      <c r="F101" s="2">
        <v>499</v>
      </c>
      <c r="G101" s="3" t="s">
        <v>66</v>
      </c>
      <c r="H101" s="3" t="s">
        <v>64</v>
      </c>
      <c r="I101" s="2">
        <v>28</v>
      </c>
      <c r="J101" s="6" t="str">
        <f>_xlfn.IFNA(VLOOKUP(C101,merchants!$A$1:$D$41,2,0),"Merchant not found")</f>
        <v>Merchant_035</v>
      </c>
      <c r="K101" s="6" t="str">
        <f>_xlfn.IFNA(VLOOKUP(C101,merchants!$A$1:$D$41,3,0),"Merchant not found")</f>
        <v>recharge</v>
      </c>
      <c r="L101" s="6" t="str">
        <f>_xlfn.IFNA(VLOOKUP(C101,merchants!$A$1:$D$41,4,0),"Merchant not found")</f>
        <v>East</v>
      </c>
      <c r="M101" s="9">
        <f t="shared" si="3"/>
        <v>0</v>
      </c>
      <c r="N101" s="6" t="str">
        <f>IF(AND(L101&lt;&gt;"East",SUMIFS(merchant_workbook_pivot_table!$D$2:$D$444,merchant_workbook_pivot_table!$C$2:$C$444,E101,merchant_workbook_pivot_table!$B$2:$B$444,J101)&gt;5000),"High-Value Merchant Day",IF(AND(L101&lt;&gt;"East",SUMIFS(merchant_workbook_pivot_table!$D$2:$D$444,merchant_workbook_pivot_table!$C$2:$C$444,E101,merchant_workbook_pivot_table!$B$2:$B$444,J101)&gt;1000),"Mid-Value Merchant Day",""))</f>
        <v/>
      </c>
    </row>
    <row r="102">
      <c r="A102" s="3" t="s">
        <v>169</v>
      </c>
      <c r="B102" s="2">
        <v>137</v>
      </c>
      <c r="C102" s="2">
        <v>10</v>
      </c>
      <c r="D102" s="8" t="s">
        <v>724</v>
      </c>
      <c r="E102" s="6" t="str">
        <f t="shared" si="2"/>
        <v>2026-01-21</v>
      </c>
      <c r="F102" s="2">
        <v>299</v>
      </c>
      <c r="G102" s="3" t="s">
        <v>66</v>
      </c>
      <c r="H102" s="3" t="s">
        <v>64</v>
      </c>
      <c r="I102" s="2">
        <v>9</v>
      </c>
      <c r="J102" s="6" t="str">
        <f>_xlfn.IFNA(VLOOKUP(C102,merchants!$A$1:$D$41,2,0),"Merchant not found")</f>
        <v>Merchant_010</v>
      </c>
      <c r="K102" s="6" t="str">
        <f>_xlfn.IFNA(VLOOKUP(C102,merchants!$A$1:$D$41,3,0),"Merchant not found")</f>
        <v>grocery</v>
      </c>
      <c r="L102" s="6" t="str">
        <f>_xlfn.IFNA(VLOOKUP(C102,merchants!$A$1:$D$41,4,0),"Merchant not found")</f>
        <v>West</v>
      </c>
      <c r="M102" s="9">
        <f t="shared" si="3"/>
        <v>0</v>
      </c>
      <c r="N102" s="6" t="str">
        <f>IF(AND(L102&lt;&gt;"East",SUMIFS(merchant_workbook_pivot_table!$D$2:$D$444,merchant_workbook_pivot_table!$C$2:$C$444,E102,merchant_workbook_pivot_table!$B$2:$B$444,J102)&gt;5000),"High-Value Merchant Day",IF(AND(L102&lt;&gt;"East",SUMIFS(merchant_workbook_pivot_table!$D$2:$D$444,merchant_workbook_pivot_table!$C$2:$C$444,E102,merchant_workbook_pivot_table!$B$2:$B$444,J102)&gt;1000),"Mid-Value Merchant Day",""))</f>
        <v/>
      </c>
    </row>
    <row r="103">
      <c r="A103" s="3" t="s">
        <v>170</v>
      </c>
      <c r="B103" s="2">
        <v>158</v>
      </c>
      <c r="C103" s="2">
        <v>39</v>
      </c>
      <c r="D103" s="8" t="s">
        <v>725</v>
      </c>
      <c r="E103" s="6" t="str">
        <f t="shared" si="2"/>
        <v>2026-01-02</v>
      </c>
      <c r="F103" s="2">
        <v>499</v>
      </c>
      <c r="G103" s="3" t="s">
        <v>69</v>
      </c>
      <c r="H103" s="3" t="s">
        <v>64</v>
      </c>
      <c r="I103" s="2">
        <v>95</v>
      </c>
      <c r="J103" s="6" t="str">
        <f>_xlfn.IFNA(VLOOKUP(C103,merchants!$A$1:$D$41,2,0),"Merchant not found")</f>
        <v>Merchant_039</v>
      </c>
      <c r="K103" s="6" t="str">
        <f>_xlfn.IFNA(VLOOKUP(C103,merchants!$A$1:$D$41,3,0),"Merchant not found")</f>
        <v>entertainment</v>
      </c>
      <c r="L103" s="6" t="str">
        <f>_xlfn.IFNA(VLOOKUP(C103,merchants!$A$1:$D$41,4,0),"Merchant not found")</f>
        <v>North</v>
      </c>
      <c r="M103" s="9">
        <f t="shared" si="3"/>
        <v>4.9900000000000002</v>
      </c>
      <c r="N103" s="6" t="str">
        <f>IF(AND(L103&lt;&gt;"East",SUMIFS(merchant_workbook_pivot_table!$D$2:$D$444,merchant_workbook_pivot_table!$C$2:$C$444,E103,merchant_workbook_pivot_table!$B$2:$B$444,J103)&gt;5000),"High-Value Merchant Day",IF(AND(L103&lt;&gt;"East",SUMIFS(merchant_workbook_pivot_table!$D$2:$D$444,merchant_workbook_pivot_table!$C$2:$C$444,E103,merchant_workbook_pivot_table!$B$2:$B$444,J103)&gt;1000),"Mid-Value Merchant Day",""))</f>
        <v/>
      </c>
    </row>
    <row r="104">
      <c r="A104" s="3" t="s">
        <v>171</v>
      </c>
      <c r="B104" s="2">
        <v>148</v>
      </c>
      <c r="C104" s="2">
        <v>29</v>
      </c>
      <c r="D104" s="8" t="s">
        <v>726</v>
      </c>
      <c r="E104" s="6" t="str">
        <f t="shared" si="2"/>
        <v>2026-01-27</v>
      </c>
      <c r="F104" s="2">
        <v>99</v>
      </c>
      <c r="G104" s="3" t="s">
        <v>78</v>
      </c>
      <c r="H104" s="3" t="s">
        <v>64</v>
      </c>
      <c r="I104" s="2">
        <v>15</v>
      </c>
      <c r="J104" s="6" t="str">
        <f>_xlfn.IFNA(VLOOKUP(C104,merchants!$A$1:$D$41,2,0),"Merchant not found")</f>
        <v>Merchant_029</v>
      </c>
      <c r="K104" s="6" t="str">
        <f>_xlfn.IFNA(VLOOKUP(C104,merchants!$A$1:$D$41,3,0),"Merchant not found")</f>
        <v>ecommerce</v>
      </c>
      <c r="L104" s="6" t="str">
        <f>_xlfn.IFNA(VLOOKUP(C104,merchants!$A$1:$D$41,4,0),"Merchant not found")</f>
        <v>North</v>
      </c>
      <c r="M104" s="9">
        <f t="shared" si="3"/>
        <v>1.98</v>
      </c>
      <c r="N104" s="6" t="str">
        <f>IF(AND(L104&lt;&gt;"East",SUMIFS(merchant_workbook_pivot_table!$D$2:$D$444,merchant_workbook_pivot_table!$C$2:$C$444,E104,merchant_workbook_pivot_table!$B$2:$B$444,J104)&gt;5000),"High-Value Merchant Day",IF(AND(L104&lt;&gt;"East",SUMIFS(merchant_workbook_pivot_table!$D$2:$D$444,merchant_workbook_pivot_table!$C$2:$C$444,E104,merchant_workbook_pivot_table!$B$2:$B$444,J104)&gt;1000),"Mid-Value Merchant Day",""))</f>
        <v/>
      </c>
    </row>
    <row r="105">
      <c r="A105" s="3" t="s">
        <v>172</v>
      </c>
      <c r="B105" s="2">
        <v>207</v>
      </c>
      <c r="C105" s="2">
        <v>18</v>
      </c>
      <c r="D105" s="8" t="s">
        <v>727</v>
      </c>
      <c r="E105" s="6" t="str">
        <f t="shared" si="2"/>
        <v>2026-01-15</v>
      </c>
      <c r="F105" s="2">
        <v>149</v>
      </c>
      <c r="G105" s="3" t="s">
        <v>66</v>
      </c>
      <c r="H105" s="3" t="s">
        <v>64</v>
      </c>
      <c r="I105" s="2">
        <v>64</v>
      </c>
      <c r="J105" s="6" t="str">
        <f>_xlfn.IFNA(VLOOKUP(C105,merchants!$A$1:$D$41,2,0),"Merchant not found")</f>
        <v>Merchant_018</v>
      </c>
      <c r="K105" s="6" t="str">
        <f>_xlfn.IFNA(VLOOKUP(C105,merchants!$A$1:$D$41,3,0),"Merchant not found")</f>
        <v>grocery</v>
      </c>
      <c r="L105" s="6" t="str">
        <f>_xlfn.IFNA(VLOOKUP(C105,merchants!$A$1:$D$41,4,0),"Merchant not found")</f>
        <v>West</v>
      </c>
      <c r="M105" s="9">
        <f t="shared" si="3"/>
        <v>0</v>
      </c>
      <c r="N105" s="6" t="str">
        <f>IF(AND(L105&lt;&gt;"East",SUMIFS(merchant_workbook_pivot_table!$D$2:$D$444,merchant_workbook_pivot_table!$C$2:$C$444,E105,merchant_workbook_pivot_table!$B$2:$B$444,J105)&gt;5000),"High-Value Merchant Day",IF(AND(L105&lt;&gt;"East",SUMIFS(merchant_workbook_pivot_table!$D$2:$D$444,merchant_workbook_pivot_table!$C$2:$C$444,E105,merchant_workbook_pivot_table!$B$2:$B$444,J105)&gt;1000),"Mid-Value Merchant Day",""))</f>
        <v/>
      </c>
    </row>
    <row r="106">
      <c r="A106" s="3" t="s">
        <v>173</v>
      </c>
      <c r="B106" s="2">
        <v>42</v>
      </c>
      <c r="C106" s="2">
        <v>39</v>
      </c>
      <c r="D106" s="8" t="s">
        <v>728</v>
      </c>
      <c r="E106" s="6" t="str">
        <f t="shared" si="2"/>
        <v>2026-01-18</v>
      </c>
      <c r="F106" s="2">
        <v>2999</v>
      </c>
      <c r="G106" s="3" t="s">
        <v>78</v>
      </c>
      <c r="H106" s="3" t="s">
        <v>64</v>
      </c>
      <c r="I106" s="2">
        <v>5</v>
      </c>
      <c r="J106" s="6" t="str">
        <f>_xlfn.IFNA(VLOOKUP(C106,merchants!$A$1:$D$41,2,0),"Merchant not found")</f>
        <v>Merchant_039</v>
      </c>
      <c r="K106" s="6" t="str">
        <f>_xlfn.IFNA(VLOOKUP(C106,merchants!$A$1:$D$41,3,0),"Merchant not found")</f>
        <v>entertainment</v>
      </c>
      <c r="L106" s="6" t="str">
        <f>_xlfn.IFNA(VLOOKUP(C106,merchants!$A$1:$D$41,4,0),"Merchant not found")</f>
        <v>North</v>
      </c>
      <c r="M106" s="9">
        <f t="shared" si="3"/>
        <v>59.980000000000004</v>
      </c>
      <c r="N106" s="6" t="str">
        <f>IF(AND(L106&lt;&gt;"East",SUMIFS(merchant_workbook_pivot_table!$D$2:$D$444,merchant_workbook_pivot_table!$C$2:$C$444,E106,merchant_workbook_pivot_table!$B$2:$B$444,J106)&gt;5000),"High-Value Merchant Day",IF(AND(L106&lt;&gt;"East",SUMIFS(merchant_workbook_pivot_table!$D$2:$D$444,merchant_workbook_pivot_table!$C$2:$C$444,E106,merchant_workbook_pivot_table!$B$2:$B$444,J106)&gt;1000),"Mid-Value Merchant Day",""))</f>
        <v xml:space="preserve">Mid-Value Merchant Day</v>
      </c>
    </row>
    <row r="107">
      <c r="A107" s="3" t="s">
        <v>174</v>
      </c>
      <c r="B107" s="2">
        <v>166</v>
      </c>
      <c r="C107" s="2">
        <v>39</v>
      </c>
      <c r="D107" s="8" t="s">
        <v>729</v>
      </c>
      <c r="E107" s="6" t="str">
        <f t="shared" si="2"/>
        <v>2026-01-29</v>
      </c>
      <c r="F107" s="2">
        <v>149</v>
      </c>
      <c r="G107" s="3" t="s">
        <v>66</v>
      </c>
      <c r="H107" s="3" t="s">
        <v>64</v>
      </c>
      <c r="I107" s="2">
        <v>32</v>
      </c>
      <c r="J107" s="6" t="str">
        <f>_xlfn.IFNA(VLOOKUP(C107,merchants!$A$1:$D$41,2,0),"Merchant not found")</f>
        <v>Merchant_039</v>
      </c>
      <c r="K107" s="6" t="str">
        <f>_xlfn.IFNA(VLOOKUP(C107,merchants!$A$1:$D$41,3,0),"Merchant not found")</f>
        <v>entertainment</v>
      </c>
      <c r="L107" s="6" t="str">
        <f>_xlfn.IFNA(VLOOKUP(C107,merchants!$A$1:$D$41,4,0),"Merchant not found")</f>
        <v>North</v>
      </c>
      <c r="M107" s="9">
        <f t="shared" si="3"/>
        <v>0</v>
      </c>
      <c r="N107" s="6" t="str">
        <f>IF(AND(L107&lt;&gt;"East",SUMIFS(merchant_workbook_pivot_table!$D$2:$D$444,merchant_workbook_pivot_table!$C$2:$C$444,E107,merchant_workbook_pivot_table!$B$2:$B$444,J107)&gt;5000),"High-Value Merchant Day",IF(AND(L107&lt;&gt;"East",SUMIFS(merchant_workbook_pivot_table!$D$2:$D$444,merchant_workbook_pivot_table!$C$2:$C$444,E107,merchant_workbook_pivot_table!$B$2:$B$444,J107)&gt;1000),"Mid-Value Merchant Day",""))</f>
        <v/>
      </c>
    </row>
    <row r="108">
      <c r="A108" s="3" t="s">
        <v>175</v>
      </c>
      <c r="B108" s="2">
        <v>346</v>
      </c>
      <c r="C108" s="2">
        <v>37</v>
      </c>
      <c r="D108" s="8" t="s">
        <v>730</v>
      </c>
      <c r="E108" s="6" t="str">
        <f t="shared" si="2"/>
        <v>2026-01-01</v>
      </c>
      <c r="F108" s="2">
        <v>99</v>
      </c>
      <c r="G108" s="3" t="s">
        <v>66</v>
      </c>
      <c r="H108" s="3" t="s">
        <v>64</v>
      </c>
      <c r="I108" s="2">
        <v>75</v>
      </c>
      <c r="J108" s="6" t="str">
        <f>_xlfn.IFNA(VLOOKUP(C108,merchants!$A$1:$D$41,2,0),"Merchant not found")</f>
        <v>Merchant_037</v>
      </c>
      <c r="K108" s="6" t="str">
        <f>_xlfn.IFNA(VLOOKUP(C108,merchants!$A$1:$D$41,3,0),"Merchant not found")</f>
        <v>entertainment</v>
      </c>
      <c r="L108" s="6" t="str">
        <f>_xlfn.IFNA(VLOOKUP(C108,merchants!$A$1:$D$41,4,0),"Merchant not found")</f>
        <v>South</v>
      </c>
      <c r="M108" s="9">
        <f t="shared" si="3"/>
        <v>0</v>
      </c>
      <c r="N108" s="6" t="str">
        <f>IF(AND(L108&lt;&gt;"East",SUMIFS(merchant_workbook_pivot_table!$D$2:$D$444,merchant_workbook_pivot_table!$C$2:$C$444,E108,merchant_workbook_pivot_table!$B$2:$B$444,J108)&gt;5000),"High-Value Merchant Day",IF(AND(L108&lt;&gt;"East",SUMIFS(merchant_workbook_pivot_table!$D$2:$D$444,merchant_workbook_pivot_table!$C$2:$C$444,E108,merchant_workbook_pivot_table!$B$2:$B$444,J108)&gt;1000),"Mid-Value Merchant Day",""))</f>
        <v/>
      </c>
    </row>
    <row r="109">
      <c r="A109" s="3" t="s">
        <v>176</v>
      </c>
      <c r="B109" s="2">
        <v>138</v>
      </c>
      <c r="C109" s="2">
        <v>37</v>
      </c>
      <c r="D109" s="8" t="s">
        <v>731</v>
      </c>
      <c r="E109" s="6" t="str">
        <f t="shared" si="2"/>
        <v>2026-01-01</v>
      </c>
      <c r="F109" s="2">
        <v>499</v>
      </c>
      <c r="G109" s="3" t="s">
        <v>66</v>
      </c>
      <c r="H109" s="3" t="s">
        <v>64</v>
      </c>
      <c r="I109" s="2">
        <v>5</v>
      </c>
      <c r="J109" s="6" t="str">
        <f>_xlfn.IFNA(VLOOKUP(C109,merchants!$A$1:$D$41,2,0),"Merchant not found")</f>
        <v>Merchant_037</v>
      </c>
      <c r="K109" s="6" t="str">
        <f>_xlfn.IFNA(VLOOKUP(C109,merchants!$A$1:$D$41,3,0),"Merchant not found")</f>
        <v>entertainment</v>
      </c>
      <c r="L109" s="6" t="str">
        <f>_xlfn.IFNA(VLOOKUP(C109,merchants!$A$1:$D$41,4,0),"Merchant not found")</f>
        <v>South</v>
      </c>
      <c r="M109" s="9">
        <f t="shared" si="3"/>
        <v>0</v>
      </c>
      <c r="N109" s="6" t="str">
        <f>IF(AND(L109&lt;&gt;"East",SUMIFS(merchant_workbook_pivot_table!$D$2:$D$444,merchant_workbook_pivot_table!$C$2:$C$444,E109,merchant_workbook_pivot_table!$B$2:$B$444,J109)&gt;5000),"High-Value Merchant Day",IF(AND(L109&lt;&gt;"East",SUMIFS(merchant_workbook_pivot_table!$D$2:$D$444,merchant_workbook_pivot_table!$C$2:$C$444,E109,merchant_workbook_pivot_table!$B$2:$B$444,J109)&gt;1000),"Mid-Value Merchant Day",""))</f>
        <v/>
      </c>
    </row>
    <row r="110">
      <c r="A110" s="3" t="s">
        <v>177</v>
      </c>
      <c r="B110" s="2">
        <v>266</v>
      </c>
      <c r="C110" s="2">
        <v>29</v>
      </c>
      <c r="D110" s="8" t="s">
        <v>732</v>
      </c>
      <c r="E110" s="6" t="str">
        <f t="shared" si="2"/>
        <v>2026-01-25</v>
      </c>
      <c r="F110" s="2">
        <v>499</v>
      </c>
      <c r="G110" s="3" t="s">
        <v>63</v>
      </c>
      <c r="H110" s="3" t="s">
        <v>79</v>
      </c>
      <c r="I110" s="2">
        <v>35</v>
      </c>
      <c r="J110" s="6" t="str">
        <f>_xlfn.IFNA(VLOOKUP(C110,merchants!$A$1:$D$41,2,0),"Merchant not found")</f>
        <v>Merchant_029</v>
      </c>
      <c r="K110" s="6" t="str">
        <f>_xlfn.IFNA(VLOOKUP(C110,merchants!$A$1:$D$41,3,0),"Merchant not found")</f>
        <v>ecommerce</v>
      </c>
      <c r="L110" s="6" t="str">
        <f>_xlfn.IFNA(VLOOKUP(C110,merchants!$A$1:$D$41,4,0),"Merchant not found")</f>
        <v>North</v>
      </c>
      <c r="M110" s="9">
        <f t="shared" si="3"/>
        <v>7.4849999999999994</v>
      </c>
      <c r="N110" s="6" t="str">
        <f>IF(AND(L110&lt;&gt;"East",SUMIFS(merchant_workbook_pivot_table!$D$2:$D$444,merchant_workbook_pivot_table!$C$2:$C$444,E110,merchant_workbook_pivot_table!$B$2:$B$444,J110)&gt;5000),"High-Value Merchant Day",IF(AND(L110&lt;&gt;"East",SUMIFS(merchant_workbook_pivot_table!$D$2:$D$444,merchant_workbook_pivot_table!$C$2:$C$444,E110,merchant_workbook_pivot_table!$B$2:$B$444,J110)&gt;1000),"Mid-Value Merchant Day",""))</f>
        <v xml:space="preserve">Mid-Value Merchant Day</v>
      </c>
    </row>
    <row r="111">
      <c r="A111" s="3" t="s">
        <v>178</v>
      </c>
      <c r="B111" s="2">
        <v>326</v>
      </c>
      <c r="C111" s="2">
        <v>32</v>
      </c>
      <c r="D111" s="8" t="s">
        <v>733</v>
      </c>
      <c r="E111" s="6" t="str">
        <f t="shared" si="2"/>
        <v>2026-01-06</v>
      </c>
      <c r="F111" s="2">
        <v>149</v>
      </c>
      <c r="G111" s="3" t="s">
        <v>66</v>
      </c>
      <c r="H111" s="3" t="s">
        <v>64</v>
      </c>
      <c r="I111" s="2">
        <v>11</v>
      </c>
      <c r="J111" s="6" t="str">
        <f>_xlfn.IFNA(VLOOKUP(C111,merchants!$A$1:$D$41,2,0),"Merchant not found")</f>
        <v>Merchant_032</v>
      </c>
      <c r="K111" s="6" t="str">
        <f>_xlfn.IFNA(VLOOKUP(C111,merchants!$A$1:$D$41,3,0),"Merchant not found")</f>
        <v>food_delivery</v>
      </c>
      <c r="L111" s="6" t="str">
        <f>_xlfn.IFNA(VLOOKUP(C111,merchants!$A$1:$D$41,4,0),"Merchant not found")</f>
        <v>West</v>
      </c>
      <c r="M111" s="9">
        <f t="shared" si="3"/>
        <v>0</v>
      </c>
      <c r="N111" s="6" t="str">
        <f>IF(AND(L111&lt;&gt;"East",SUMIFS(merchant_workbook_pivot_table!$D$2:$D$444,merchant_workbook_pivot_table!$C$2:$C$444,E111,merchant_workbook_pivot_table!$B$2:$B$444,J111)&gt;5000),"High-Value Merchant Day",IF(AND(L111&lt;&gt;"East",SUMIFS(merchant_workbook_pivot_table!$D$2:$D$444,merchant_workbook_pivot_table!$C$2:$C$444,E111,merchant_workbook_pivot_table!$B$2:$B$444,J111)&gt;1000),"Mid-Value Merchant Day",""))</f>
        <v/>
      </c>
    </row>
    <row r="112">
      <c r="A112" s="3" t="s">
        <v>179</v>
      </c>
      <c r="B112" s="2">
        <v>171</v>
      </c>
      <c r="C112" s="2">
        <v>21</v>
      </c>
      <c r="D112" s="8" t="s">
        <v>734</v>
      </c>
      <c r="E112" s="6" t="str">
        <f t="shared" si="2"/>
        <v>2026-01-16</v>
      </c>
      <c r="F112" s="2">
        <v>799</v>
      </c>
      <c r="G112" s="3" t="s">
        <v>66</v>
      </c>
      <c r="H112" s="3" t="s">
        <v>64</v>
      </c>
      <c r="I112" s="2">
        <v>85</v>
      </c>
      <c r="J112" s="6" t="str">
        <f>_xlfn.IFNA(VLOOKUP(C112,merchants!$A$1:$D$41,2,0),"Merchant not found")</f>
        <v>Merchant_021</v>
      </c>
      <c r="K112" s="6" t="str">
        <f>_xlfn.IFNA(VLOOKUP(C112,merchants!$A$1:$D$41,3,0),"Merchant not found")</f>
        <v>food_delivery</v>
      </c>
      <c r="L112" s="6" t="str">
        <f>_xlfn.IFNA(VLOOKUP(C112,merchants!$A$1:$D$41,4,0),"Merchant not found")</f>
        <v>East</v>
      </c>
      <c r="M112" s="9">
        <f t="shared" si="3"/>
        <v>0</v>
      </c>
      <c r="N112" s="6" t="str">
        <f>IF(AND(L112&lt;&gt;"East",SUMIFS(merchant_workbook_pivot_table!$D$2:$D$444,merchant_workbook_pivot_table!$C$2:$C$444,E112,merchant_workbook_pivot_table!$B$2:$B$444,J112)&gt;5000),"High-Value Merchant Day",IF(AND(L112&lt;&gt;"East",SUMIFS(merchant_workbook_pivot_table!$D$2:$D$444,merchant_workbook_pivot_table!$C$2:$C$444,E112,merchant_workbook_pivot_table!$B$2:$B$444,J112)&gt;1000),"Mid-Value Merchant Day",""))</f>
        <v/>
      </c>
    </row>
    <row r="113">
      <c r="A113" s="3" t="s">
        <v>180</v>
      </c>
      <c r="B113" s="2">
        <v>211</v>
      </c>
      <c r="C113" s="2">
        <v>32</v>
      </c>
      <c r="D113" s="8" t="s">
        <v>735</v>
      </c>
      <c r="E113" s="6" t="str">
        <f t="shared" si="2"/>
        <v>2026-01-04</v>
      </c>
      <c r="F113" s="2">
        <v>49</v>
      </c>
      <c r="G113" s="3" t="s">
        <v>66</v>
      </c>
      <c r="H113" s="3" t="s">
        <v>64</v>
      </c>
      <c r="I113" s="2">
        <v>36</v>
      </c>
      <c r="J113" s="6" t="str">
        <f>_xlfn.IFNA(VLOOKUP(C113,merchants!$A$1:$D$41,2,0),"Merchant not found")</f>
        <v>Merchant_032</v>
      </c>
      <c r="K113" s="6" t="str">
        <f>_xlfn.IFNA(VLOOKUP(C113,merchants!$A$1:$D$41,3,0),"Merchant not found")</f>
        <v>food_delivery</v>
      </c>
      <c r="L113" s="6" t="str">
        <f>_xlfn.IFNA(VLOOKUP(C113,merchants!$A$1:$D$41,4,0),"Merchant not found")</f>
        <v>West</v>
      </c>
      <c r="M113" s="9">
        <f t="shared" si="3"/>
        <v>0</v>
      </c>
      <c r="N113" s="6" t="str">
        <f>IF(AND(L113&lt;&gt;"East",SUMIFS(merchant_workbook_pivot_table!$D$2:$D$444,merchant_workbook_pivot_table!$C$2:$C$444,E113,merchant_workbook_pivot_table!$B$2:$B$444,J113)&gt;5000),"High-Value Merchant Day",IF(AND(L113&lt;&gt;"East",SUMIFS(merchant_workbook_pivot_table!$D$2:$D$444,merchant_workbook_pivot_table!$C$2:$C$444,E113,merchant_workbook_pivot_table!$B$2:$B$444,J113)&gt;1000),"Mid-Value Merchant Day",""))</f>
        <v/>
      </c>
    </row>
    <row r="114">
      <c r="A114" s="3" t="s">
        <v>181</v>
      </c>
      <c r="B114" s="2">
        <v>282</v>
      </c>
      <c r="C114" s="2">
        <v>3</v>
      </c>
      <c r="D114" s="8" t="s">
        <v>736</v>
      </c>
      <c r="E114" s="6" t="str">
        <f t="shared" si="2"/>
        <v>2026-01-22</v>
      </c>
      <c r="F114" s="2">
        <v>499</v>
      </c>
      <c r="G114" s="3" t="s">
        <v>66</v>
      </c>
      <c r="H114" s="3" t="s">
        <v>64</v>
      </c>
      <c r="I114" s="2">
        <v>58</v>
      </c>
      <c r="J114" s="6" t="str">
        <f>_xlfn.IFNA(VLOOKUP(C114,merchants!$A$1:$D$41,2,0),"Merchant not found")</f>
        <v>Merchant_003</v>
      </c>
      <c r="K114" s="6" t="str">
        <f>_xlfn.IFNA(VLOOKUP(C114,merchants!$A$1:$D$41,3,0),"Merchant not found")</f>
        <v>grocery</v>
      </c>
      <c r="L114" s="6" t="str">
        <f>_xlfn.IFNA(VLOOKUP(C114,merchants!$A$1:$D$41,4,0),"Merchant not found")</f>
        <v>East</v>
      </c>
      <c r="M114" s="9">
        <f t="shared" si="3"/>
        <v>0</v>
      </c>
      <c r="N114" s="6" t="str">
        <f>IF(AND(L114&lt;&gt;"East",SUMIFS(merchant_workbook_pivot_table!$D$2:$D$444,merchant_workbook_pivot_table!$C$2:$C$444,E114,merchant_workbook_pivot_table!$B$2:$B$444,J114)&gt;5000),"High-Value Merchant Day",IF(AND(L114&lt;&gt;"East",SUMIFS(merchant_workbook_pivot_table!$D$2:$D$444,merchant_workbook_pivot_table!$C$2:$C$444,E114,merchant_workbook_pivot_table!$B$2:$B$444,J114)&gt;1000),"Mid-Value Merchant Day",""))</f>
        <v/>
      </c>
    </row>
    <row r="115">
      <c r="A115" s="3" t="s">
        <v>182</v>
      </c>
      <c r="B115" s="2">
        <v>166</v>
      </c>
      <c r="C115" s="2">
        <v>8</v>
      </c>
      <c r="D115" s="8" t="s">
        <v>737</v>
      </c>
      <c r="E115" s="6" t="str">
        <f t="shared" si="2"/>
        <v>2026-01-03</v>
      </c>
      <c r="F115" s="2">
        <v>299</v>
      </c>
      <c r="G115" s="3" t="s">
        <v>66</v>
      </c>
      <c r="H115" s="3" t="s">
        <v>64</v>
      </c>
      <c r="I115" s="2">
        <v>98</v>
      </c>
      <c r="J115" s="6" t="str">
        <f>_xlfn.IFNA(VLOOKUP(C115,merchants!$A$1:$D$41,2,0),"Merchant not found")</f>
        <v>Merchant_008</v>
      </c>
      <c r="K115" s="6" t="str">
        <f>_xlfn.IFNA(VLOOKUP(C115,merchants!$A$1:$D$41,3,0),"Merchant not found")</f>
        <v>food_delivery</v>
      </c>
      <c r="L115" s="6" t="str">
        <f>_xlfn.IFNA(VLOOKUP(C115,merchants!$A$1:$D$41,4,0),"Merchant not found")</f>
        <v>North</v>
      </c>
      <c r="M115" s="9">
        <f t="shared" si="3"/>
        <v>0</v>
      </c>
      <c r="N115" s="6" t="str">
        <f>IF(AND(L115&lt;&gt;"East",SUMIFS(merchant_workbook_pivot_table!$D$2:$D$444,merchant_workbook_pivot_table!$C$2:$C$444,E115,merchant_workbook_pivot_table!$B$2:$B$444,J115)&gt;5000),"High-Value Merchant Day",IF(AND(L115&lt;&gt;"East",SUMIFS(merchant_workbook_pivot_table!$D$2:$D$444,merchant_workbook_pivot_table!$C$2:$C$444,E115,merchant_workbook_pivot_table!$B$2:$B$444,J115)&gt;1000),"Mid-Value Merchant Day",""))</f>
        <v/>
      </c>
    </row>
    <row r="116">
      <c r="A116" s="3" t="s">
        <v>183</v>
      </c>
      <c r="B116" s="2">
        <v>1</v>
      </c>
      <c r="C116" s="2">
        <v>35</v>
      </c>
      <c r="D116" s="8" t="s">
        <v>738</v>
      </c>
      <c r="E116" s="6" t="str">
        <f t="shared" si="2"/>
        <v>2026-01-13</v>
      </c>
      <c r="F116" s="2">
        <v>149</v>
      </c>
      <c r="G116" s="3" t="s">
        <v>66</v>
      </c>
      <c r="H116" s="3" t="s">
        <v>64</v>
      </c>
      <c r="I116" s="2">
        <v>59</v>
      </c>
      <c r="J116" s="6" t="str">
        <f>_xlfn.IFNA(VLOOKUP(C116,merchants!$A$1:$D$41,2,0),"Merchant not found")</f>
        <v>Merchant_035</v>
      </c>
      <c r="K116" s="6" t="str">
        <f>_xlfn.IFNA(VLOOKUP(C116,merchants!$A$1:$D$41,3,0),"Merchant not found")</f>
        <v>recharge</v>
      </c>
      <c r="L116" s="6" t="str">
        <f>_xlfn.IFNA(VLOOKUP(C116,merchants!$A$1:$D$41,4,0),"Merchant not found")</f>
        <v>East</v>
      </c>
      <c r="M116" s="9">
        <f t="shared" si="3"/>
        <v>0</v>
      </c>
      <c r="N116" s="6" t="str">
        <f>IF(AND(L116&lt;&gt;"East",SUMIFS(merchant_workbook_pivot_table!$D$2:$D$444,merchant_workbook_pivot_table!$C$2:$C$444,E116,merchant_workbook_pivot_table!$B$2:$B$444,J116)&gt;5000),"High-Value Merchant Day",IF(AND(L116&lt;&gt;"East",SUMIFS(merchant_workbook_pivot_table!$D$2:$D$444,merchant_workbook_pivot_table!$C$2:$C$444,E116,merchant_workbook_pivot_table!$B$2:$B$444,J116)&gt;1000),"Mid-Value Merchant Day",""))</f>
        <v/>
      </c>
    </row>
    <row r="117">
      <c r="A117" s="3" t="s">
        <v>184</v>
      </c>
      <c r="B117" s="2">
        <v>266</v>
      </c>
      <c r="C117" s="2">
        <v>24</v>
      </c>
      <c r="D117" s="8" t="s">
        <v>739</v>
      </c>
      <c r="E117" s="6" t="str">
        <f t="shared" si="2"/>
        <v>2026-01-14</v>
      </c>
      <c r="F117" s="2">
        <v>499</v>
      </c>
      <c r="G117" s="3" t="s">
        <v>66</v>
      </c>
      <c r="H117" s="3" t="s">
        <v>64</v>
      </c>
      <c r="I117" s="2">
        <v>79</v>
      </c>
      <c r="J117" s="6" t="str">
        <f>_xlfn.IFNA(VLOOKUP(C117,merchants!$A$1:$D$41,2,0),"Merchant not found")</f>
        <v>Merchant_024</v>
      </c>
      <c r="K117" s="6" t="str">
        <f>_xlfn.IFNA(VLOOKUP(C117,merchants!$A$1:$D$41,3,0),"Merchant not found")</f>
        <v>grocery</v>
      </c>
      <c r="L117" s="6" t="str">
        <f>_xlfn.IFNA(VLOOKUP(C117,merchants!$A$1:$D$41,4,0),"Merchant not found")</f>
        <v>North</v>
      </c>
      <c r="M117" s="9">
        <f t="shared" si="3"/>
        <v>0</v>
      </c>
      <c r="N117" s="6" t="str">
        <f>IF(AND(L117&lt;&gt;"East",SUMIFS(merchant_workbook_pivot_table!$D$2:$D$444,merchant_workbook_pivot_table!$C$2:$C$444,E117,merchant_workbook_pivot_table!$B$2:$B$444,J117)&gt;5000),"High-Value Merchant Day",IF(AND(L117&lt;&gt;"East",SUMIFS(merchant_workbook_pivot_table!$D$2:$D$444,merchant_workbook_pivot_table!$C$2:$C$444,E117,merchant_workbook_pivot_table!$B$2:$B$444,J117)&gt;1000),"Mid-Value Merchant Day",""))</f>
        <v/>
      </c>
    </row>
    <row r="118">
      <c r="A118" s="3" t="s">
        <v>185</v>
      </c>
      <c r="B118" s="2">
        <v>227</v>
      </c>
      <c r="C118" s="2">
        <v>4</v>
      </c>
      <c r="D118" s="8" t="s">
        <v>740</v>
      </c>
      <c r="E118" s="6" t="str">
        <f t="shared" si="2"/>
        <v>2026-01-25</v>
      </c>
      <c r="F118" s="2">
        <v>499</v>
      </c>
      <c r="G118" s="3" t="s">
        <v>66</v>
      </c>
      <c r="H118" s="3" t="s">
        <v>64</v>
      </c>
      <c r="I118" s="2">
        <v>26</v>
      </c>
      <c r="J118" s="6" t="str">
        <f>_xlfn.IFNA(VLOOKUP(C118,merchants!$A$1:$D$41,2,0),"Merchant not found")</f>
        <v>Merchant_004</v>
      </c>
      <c r="K118" s="6" t="str">
        <f>_xlfn.IFNA(VLOOKUP(C118,merchants!$A$1:$D$41,3,0),"Merchant not found")</f>
        <v>ecommerce</v>
      </c>
      <c r="L118" s="6" t="str">
        <f>_xlfn.IFNA(VLOOKUP(C118,merchants!$A$1:$D$41,4,0),"Merchant not found")</f>
        <v>East</v>
      </c>
      <c r="M118" s="9">
        <f t="shared" si="3"/>
        <v>0</v>
      </c>
      <c r="N118" s="6" t="str">
        <f>IF(AND(L118&lt;&gt;"East",SUMIFS(merchant_workbook_pivot_table!$D$2:$D$444,merchant_workbook_pivot_table!$C$2:$C$444,E118,merchant_workbook_pivot_table!$B$2:$B$444,J118)&gt;5000),"High-Value Merchant Day",IF(AND(L118&lt;&gt;"East",SUMIFS(merchant_workbook_pivot_table!$D$2:$D$444,merchant_workbook_pivot_table!$C$2:$C$444,E118,merchant_workbook_pivot_table!$B$2:$B$444,J118)&gt;1000),"Mid-Value Merchant Day",""))</f>
        <v/>
      </c>
    </row>
    <row r="119">
      <c r="A119" s="3" t="s">
        <v>186</v>
      </c>
      <c r="B119" s="2">
        <v>148</v>
      </c>
      <c r="C119" s="2">
        <v>29</v>
      </c>
      <c r="D119" s="8" t="s">
        <v>741</v>
      </c>
      <c r="E119" s="6" t="str">
        <f t="shared" si="2"/>
        <v>2026-01-09</v>
      </c>
      <c r="F119" s="2">
        <v>499</v>
      </c>
      <c r="G119" s="3" t="s">
        <v>66</v>
      </c>
      <c r="H119" s="3" t="s">
        <v>64</v>
      </c>
      <c r="I119" s="2">
        <v>89</v>
      </c>
      <c r="J119" s="6" t="str">
        <f>_xlfn.IFNA(VLOOKUP(C119,merchants!$A$1:$D$41,2,0),"Merchant not found")</f>
        <v>Merchant_029</v>
      </c>
      <c r="K119" s="6" t="str">
        <f>_xlfn.IFNA(VLOOKUP(C119,merchants!$A$1:$D$41,3,0),"Merchant not found")</f>
        <v>ecommerce</v>
      </c>
      <c r="L119" s="6" t="str">
        <f>_xlfn.IFNA(VLOOKUP(C119,merchants!$A$1:$D$41,4,0),"Merchant not found")</f>
        <v>North</v>
      </c>
      <c r="M119" s="9">
        <f t="shared" si="3"/>
        <v>0</v>
      </c>
      <c r="N119" s="6" t="str">
        <f>IF(AND(L119&lt;&gt;"East",SUMIFS(merchant_workbook_pivot_table!$D$2:$D$444,merchant_workbook_pivot_table!$C$2:$C$444,E119,merchant_workbook_pivot_table!$B$2:$B$444,J119)&gt;5000),"High-Value Merchant Day",IF(AND(L119&lt;&gt;"East",SUMIFS(merchant_workbook_pivot_table!$D$2:$D$444,merchant_workbook_pivot_table!$C$2:$C$444,E119,merchant_workbook_pivot_table!$B$2:$B$444,J119)&gt;1000),"Mid-Value Merchant Day",""))</f>
        <v/>
      </c>
    </row>
    <row r="120">
      <c r="A120" s="3" t="s">
        <v>187</v>
      </c>
      <c r="B120" s="2">
        <v>323</v>
      </c>
      <c r="C120" s="2">
        <v>39</v>
      </c>
      <c r="D120" s="8" t="s">
        <v>742</v>
      </c>
      <c r="E120" s="6" t="str">
        <f t="shared" si="2"/>
        <v>2026-01-16</v>
      </c>
      <c r="F120" s="2">
        <v>499</v>
      </c>
      <c r="G120" s="3" t="s">
        <v>66</v>
      </c>
      <c r="H120" s="3" t="s">
        <v>64</v>
      </c>
      <c r="I120" s="2">
        <v>30</v>
      </c>
      <c r="J120" s="6" t="str">
        <f>_xlfn.IFNA(VLOOKUP(C120,merchants!$A$1:$D$41,2,0),"Merchant not found")</f>
        <v>Merchant_039</v>
      </c>
      <c r="K120" s="6" t="str">
        <f>_xlfn.IFNA(VLOOKUP(C120,merchants!$A$1:$D$41,3,0),"Merchant not found")</f>
        <v>entertainment</v>
      </c>
      <c r="L120" s="6" t="str">
        <f>_xlfn.IFNA(VLOOKUP(C120,merchants!$A$1:$D$41,4,0),"Merchant not found")</f>
        <v>North</v>
      </c>
      <c r="M120" s="9">
        <f t="shared" si="3"/>
        <v>0</v>
      </c>
      <c r="N120" s="6" t="str">
        <f>IF(AND(L120&lt;&gt;"East",SUMIFS(merchant_workbook_pivot_table!$D$2:$D$444,merchant_workbook_pivot_table!$C$2:$C$444,E120,merchant_workbook_pivot_table!$B$2:$B$444,J120)&gt;5000),"High-Value Merchant Day",IF(AND(L120&lt;&gt;"East",SUMIFS(merchant_workbook_pivot_table!$D$2:$D$444,merchant_workbook_pivot_table!$C$2:$C$444,E120,merchant_workbook_pivot_table!$B$2:$B$444,J120)&gt;1000),"Mid-Value Merchant Day",""))</f>
        <v/>
      </c>
    </row>
    <row r="121">
      <c r="A121" s="3" t="s">
        <v>188</v>
      </c>
      <c r="B121" s="2">
        <v>283</v>
      </c>
      <c r="C121" s="2">
        <v>1</v>
      </c>
      <c r="D121" s="8" t="s">
        <v>743</v>
      </c>
      <c r="E121" s="6" t="str">
        <f t="shared" si="2"/>
        <v>2026-01-23</v>
      </c>
      <c r="F121" s="2">
        <v>2999</v>
      </c>
      <c r="G121" s="3" t="s">
        <v>63</v>
      </c>
      <c r="H121" s="3" t="s">
        <v>64</v>
      </c>
      <c r="I121" s="2">
        <v>70</v>
      </c>
      <c r="J121" s="6" t="str">
        <f>_xlfn.IFNA(VLOOKUP(C121,merchants!$A$1:$D$41,2,0),"Merchant not found")</f>
        <v>Merchant_001</v>
      </c>
      <c r="K121" s="6" t="str">
        <f>_xlfn.IFNA(VLOOKUP(C121,merchants!$A$1:$D$41,3,0),"Merchant not found")</f>
        <v>ecommerce</v>
      </c>
      <c r="L121" s="6" t="str">
        <f>_xlfn.IFNA(VLOOKUP(C121,merchants!$A$1:$D$41,4,0),"Merchant not found")</f>
        <v>South</v>
      </c>
      <c r="M121" s="9">
        <f t="shared" si="3"/>
        <v>44.984999999999999</v>
      </c>
      <c r="N121" s="6" t="str">
        <f>IF(AND(L121&lt;&gt;"East",SUMIFS(merchant_workbook_pivot_table!$D$2:$D$444,merchant_workbook_pivot_table!$C$2:$C$444,E121,merchant_workbook_pivot_table!$B$2:$B$444,J121)&gt;5000),"High-Value Merchant Day",IF(AND(L121&lt;&gt;"East",SUMIFS(merchant_workbook_pivot_table!$D$2:$D$444,merchant_workbook_pivot_table!$C$2:$C$444,E121,merchant_workbook_pivot_table!$B$2:$B$444,J121)&gt;1000),"Mid-Value Merchant Day",""))</f>
        <v xml:space="preserve">Mid-Value Merchant Day</v>
      </c>
    </row>
    <row r="122">
      <c r="A122" s="3" t="s">
        <v>189</v>
      </c>
      <c r="B122" s="2">
        <v>59</v>
      </c>
      <c r="C122" s="2">
        <v>30</v>
      </c>
      <c r="D122" s="8" t="s">
        <v>744</v>
      </c>
      <c r="E122" s="6" t="str">
        <f t="shared" si="2"/>
        <v>2026-01-14</v>
      </c>
      <c r="F122" s="2">
        <v>499</v>
      </c>
      <c r="G122" s="3" t="s">
        <v>66</v>
      </c>
      <c r="H122" s="3" t="s">
        <v>64</v>
      </c>
      <c r="I122" s="2">
        <v>15</v>
      </c>
      <c r="J122" s="6" t="str">
        <f>_xlfn.IFNA(VLOOKUP(C122,merchants!$A$1:$D$41,2,0),"Merchant not found")</f>
        <v>Merchant_030</v>
      </c>
      <c r="K122" s="6" t="str">
        <f>_xlfn.IFNA(VLOOKUP(C122,merchants!$A$1:$D$41,3,0),"Merchant not found")</f>
        <v>travel</v>
      </c>
      <c r="L122" s="6" t="str">
        <f>_xlfn.IFNA(VLOOKUP(C122,merchants!$A$1:$D$41,4,0),"Merchant not found")</f>
        <v>West</v>
      </c>
      <c r="M122" s="9">
        <f t="shared" si="3"/>
        <v>0</v>
      </c>
      <c r="N122" s="6" t="str">
        <f>IF(AND(L122&lt;&gt;"East",SUMIFS(merchant_workbook_pivot_table!$D$2:$D$444,merchant_workbook_pivot_table!$C$2:$C$444,E122,merchant_workbook_pivot_table!$B$2:$B$444,J122)&gt;5000),"High-Value Merchant Day",IF(AND(L122&lt;&gt;"East",SUMIFS(merchant_workbook_pivot_table!$D$2:$D$444,merchant_workbook_pivot_table!$C$2:$C$444,E122,merchant_workbook_pivot_table!$B$2:$B$444,J122)&gt;1000),"Mid-Value Merchant Day",""))</f>
        <v xml:space="preserve">Mid-Value Merchant Day</v>
      </c>
    </row>
    <row r="123">
      <c r="A123" s="3" t="s">
        <v>190</v>
      </c>
      <c r="B123" s="2">
        <v>150</v>
      </c>
      <c r="C123" s="2">
        <v>33</v>
      </c>
      <c r="D123" s="8" t="s">
        <v>745</v>
      </c>
      <c r="E123" s="6" t="str">
        <f t="shared" si="2"/>
        <v>2026-01-21</v>
      </c>
      <c r="F123" s="2">
        <v>2999</v>
      </c>
      <c r="G123" s="3" t="s">
        <v>66</v>
      </c>
      <c r="H123" s="3" t="s">
        <v>64</v>
      </c>
      <c r="I123" s="2">
        <v>90</v>
      </c>
      <c r="J123" s="6" t="str">
        <f>_xlfn.IFNA(VLOOKUP(C123,merchants!$A$1:$D$41,2,0),"Merchant not found")</f>
        <v>Merchant_033</v>
      </c>
      <c r="K123" s="6" t="str">
        <f>_xlfn.IFNA(VLOOKUP(C123,merchants!$A$1:$D$41,3,0),"Merchant not found")</f>
        <v>bill_payment</v>
      </c>
      <c r="L123" s="6" t="str">
        <f>_xlfn.IFNA(VLOOKUP(C123,merchants!$A$1:$D$41,4,0),"Merchant not found")</f>
        <v>East</v>
      </c>
      <c r="M123" s="9">
        <f t="shared" si="3"/>
        <v>0</v>
      </c>
      <c r="N123" s="6" t="str">
        <f>IF(AND(L123&lt;&gt;"East",SUMIFS(merchant_workbook_pivot_table!$D$2:$D$444,merchant_workbook_pivot_table!$C$2:$C$444,E123,merchant_workbook_pivot_table!$B$2:$B$444,J123)&gt;5000),"High-Value Merchant Day",IF(AND(L123&lt;&gt;"East",SUMIFS(merchant_workbook_pivot_table!$D$2:$D$444,merchant_workbook_pivot_table!$C$2:$C$444,E123,merchant_workbook_pivot_table!$B$2:$B$444,J123)&gt;1000),"Mid-Value Merchant Day",""))</f>
        <v/>
      </c>
    </row>
    <row r="124">
      <c r="A124" s="3" t="s">
        <v>191</v>
      </c>
      <c r="B124" s="2">
        <v>248</v>
      </c>
      <c r="C124" s="2">
        <v>31</v>
      </c>
      <c r="D124" s="8" t="s">
        <v>746</v>
      </c>
      <c r="E124" s="6" t="str">
        <f t="shared" si="2"/>
        <v>2026-01-09</v>
      </c>
      <c r="F124" s="2">
        <v>1499</v>
      </c>
      <c r="G124" s="3" t="s">
        <v>66</v>
      </c>
      <c r="H124" s="3" t="s">
        <v>79</v>
      </c>
      <c r="I124" s="2">
        <v>31</v>
      </c>
      <c r="J124" s="6" t="str">
        <f>_xlfn.IFNA(VLOOKUP(C124,merchants!$A$1:$D$41,2,0),"Merchant not found")</f>
        <v>Merchant_031</v>
      </c>
      <c r="K124" s="6" t="str">
        <f>_xlfn.IFNA(VLOOKUP(C124,merchants!$A$1:$D$41,3,0),"Merchant not found")</f>
        <v>bill_payment</v>
      </c>
      <c r="L124" s="6" t="str">
        <f>_xlfn.IFNA(VLOOKUP(C124,merchants!$A$1:$D$41,4,0),"Merchant not found")</f>
        <v>East</v>
      </c>
      <c r="M124" s="9">
        <f t="shared" si="3"/>
        <v>0</v>
      </c>
      <c r="N124" s="6" t="str">
        <f>IF(AND(L124&lt;&gt;"East",SUMIFS(merchant_workbook_pivot_table!$D$2:$D$444,merchant_workbook_pivot_table!$C$2:$C$444,E124,merchant_workbook_pivot_table!$B$2:$B$444,J124)&gt;5000),"High-Value Merchant Day",IF(AND(L124&lt;&gt;"East",SUMIFS(merchant_workbook_pivot_table!$D$2:$D$444,merchant_workbook_pivot_table!$C$2:$C$444,E124,merchant_workbook_pivot_table!$B$2:$B$444,J124)&gt;1000),"Mid-Value Merchant Day",""))</f>
        <v/>
      </c>
    </row>
    <row r="125">
      <c r="A125" s="3" t="s">
        <v>192</v>
      </c>
      <c r="B125" s="2">
        <v>197</v>
      </c>
      <c r="C125" s="2">
        <v>13</v>
      </c>
      <c r="D125" s="8" t="s">
        <v>747</v>
      </c>
      <c r="E125" s="6" t="str">
        <f t="shared" si="2"/>
        <v>2026-01-15</v>
      </c>
      <c r="F125" s="2">
        <v>49</v>
      </c>
      <c r="G125" s="3" t="s">
        <v>66</v>
      </c>
      <c r="H125" s="3" t="s">
        <v>64</v>
      </c>
      <c r="I125" s="2">
        <v>76</v>
      </c>
      <c r="J125" s="6" t="str">
        <f>_xlfn.IFNA(VLOOKUP(C125,merchants!$A$1:$D$41,2,0),"Merchant not found")</f>
        <v>Merchant_013</v>
      </c>
      <c r="K125" s="6" t="str">
        <f>_xlfn.IFNA(VLOOKUP(C125,merchants!$A$1:$D$41,3,0),"Merchant not found")</f>
        <v>travel</v>
      </c>
      <c r="L125" s="6" t="str">
        <f>_xlfn.IFNA(VLOOKUP(C125,merchants!$A$1:$D$41,4,0),"Merchant not found")</f>
        <v>East</v>
      </c>
      <c r="M125" s="9">
        <f t="shared" si="3"/>
        <v>0</v>
      </c>
      <c r="N125" s="6" t="str">
        <f>IF(AND(L125&lt;&gt;"East",SUMIFS(merchant_workbook_pivot_table!$D$2:$D$444,merchant_workbook_pivot_table!$C$2:$C$444,E125,merchant_workbook_pivot_table!$B$2:$B$444,J125)&gt;5000),"High-Value Merchant Day",IF(AND(L125&lt;&gt;"East",SUMIFS(merchant_workbook_pivot_table!$D$2:$D$444,merchant_workbook_pivot_table!$C$2:$C$444,E125,merchant_workbook_pivot_table!$B$2:$B$444,J125)&gt;1000),"Mid-Value Merchant Day",""))</f>
        <v/>
      </c>
    </row>
    <row r="126">
      <c r="A126" s="3" t="s">
        <v>193</v>
      </c>
      <c r="B126" s="2">
        <v>70</v>
      </c>
      <c r="C126" s="2">
        <v>5</v>
      </c>
      <c r="D126" s="8" t="s">
        <v>748</v>
      </c>
      <c r="E126" s="6" t="str">
        <f t="shared" si="2"/>
        <v>2026-01-17</v>
      </c>
      <c r="F126" s="2">
        <v>499</v>
      </c>
      <c r="G126" s="3" t="s">
        <v>66</v>
      </c>
      <c r="H126" s="3" t="s">
        <v>64</v>
      </c>
      <c r="I126" s="2">
        <v>35</v>
      </c>
      <c r="J126" s="6" t="str">
        <f>_xlfn.IFNA(VLOOKUP(C126,merchants!$A$1:$D$41,2,0),"Merchant not found")</f>
        <v>Merchant_005</v>
      </c>
      <c r="K126" s="6" t="str">
        <f>_xlfn.IFNA(VLOOKUP(C126,merchants!$A$1:$D$41,3,0),"Merchant not found")</f>
        <v>recharge</v>
      </c>
      <c r="L126" s="6" t="str">
        <f>_xlfn.IFNA(VLOOKUP(C126,merchants!$A$1:$D$41,4,0),"Merchant not found")</f>
        <v>South</v>
      </c>
      <c r="M126" s="9">
        <f t="shared" si="3"/>
        <v>0</v>
      </c>
      <c r="N126" s="6" t="str">
        <f>IF(AND(L126&lt;&gt;"East",SUMIFS(merchant_workbook_pivot_table!$D$2:$D$444,merchant_workbook_pivot_table!$C$2:$C$444,E126,merchant_workbook_pivot_table!$B$2:$B$444,J126)&gt;5000),"High-Value Merchant Day",IF(AND(L126&lt;&gt;"East",SUMIFS(merchant_workbook_pivot_table!$D$2:$D$444,merchant_workbook_pivot_table!$C$2:$C$444,E126,merchant_workbook_pivot_table!$B$2:$B$444,J126)&gt;1000),"Mid-Value Merchant Day",""))</f>
        <v/>
      </c>
    </row>
    <row r="127">
      <c r="A127" s="3" t="s">
        <v>194</v>
      </c>
      <c r="B127" s="2">
        <v>260</v>
      </c>
      <c r="C127" s="2">
        <v>18</v>
      </c>
      <c r="D127" s="8" t="s">
        <v>749</v>
      </c>
      <c r="E127" s="6" t="str">
        <f t="shared" si="2"/>
        <v>2026-01-25</v>
      </c>
      <c r="F127" s="2">
        <v>1499</v>
      </c>
      <c r="G127" s="3" t="s">
        <v>66</v>
      </c>
      <c r="H127" s="3" t="s">
        <v>64</v>
      </c>
      <c r="I127" s="2">
        <v>0</v>
      </c>
      <c r="J127" s="6" t="str">
        <f>_xlfn.IFNA(VLOOKUP(C127,merchants!$A$1:$D$41,2,0),"Merchant not found")</f>
        <v>Merchant_018</v>
      </c>
      <c r="K127" s="6" t="str">
        <f>_xlfn.IFNA(VLOOKUP(C127,merchants!$A$1:$D$41,3,0),"Merchant not found")</f>
        <v>grocery</v>
      </c>
      <c r="L127" s="6" t="str">
        <f>_xlfn.IFNA(VLOOKUP(C127,merchants!$A$1:$D$41,4,0),"Merchant not found")</f>
        <v>West</v>
      </c>
      <c r="M127" s="9">
        <f t="shared" si="3"/>
        <v>0</v>
      </c>
      <c r="N127" s="6" t="str">
        <f>IF(AND(L127&lt;&gt;"East",SUMIFS(merchant_workbook_pivot_table!$D$2:$D$444,merchant_workbook_pivot_table!$C$2:$C$444,E127,merchant_workbook_pivot_table!$B$2:$B$444,J127)&gt;5000),"High-Value Merchant Day",IF(AND(L127&lt;&gt;"East",SUMIFS(merchant_workbook_pivot_table!$D$2:$D$444,merchant_workbook_pivot_table!$C$2:$C$444,E127,merchant_workbook_pivot_table!$B$2:$B$444,J127)&gt;1000),"Mid-Value Merchant Day",""))</f>
        <v xml:space="preserve">Mid-Value Merchant Day</v>
      </c>
    </row>
    <row r="128">
      <c r="A128" s="3" t="s">
        <v>195</v>
      </c>
      <c r="B128" s="2">
        <v>301</v>
      </c>
      <c r="C128" s="2">
        <v>38</v>
      </c>
      <c r="D128" s="8" t="s">
        <v>750</v>
      </c>
      <c r="E128" s="6" t="str">
        <f t="shared" si="2"/>
        <v>2026-01-10</v>
      </c>
      <c r="F128" s="2">
        <v>99</v>
      </c>
      <c r="G128" s="3" t="s">
        <v>66</v>
      </c>
      <c r="H128" s="3" t="s">
        <v>64</v>
      </c>
      <c r="I128" s="2">
        <v>84</v>
      </c>
      <c r="J128" s="6" t="str">
        <f>_xlfn.IFNA(VLOOKUP(C128,merchants!$A$1:$D$41,2,0),"Merchant not found")</f>
        <v>Merchant_038</v>
      </c>
      <c r="K128" s="6" t="str">
        <f>_xlfn.IFNA(VLOOKUP(C128,merchants!$A$1:$D$41,3,0),"Merchant not found")</f>
        <v>grocery</v>
      </c>
      <c r="L128" s="6" t="str">
        <f>_xlfn.IFNA(VLOOKUP(C128,merchants!$A$1:$D$41,4,0),"Merchant not found")</f>
        <v>East</v>
      </c>
      <c r="M128" s="9">
        <f t="shared" si="3"/>
        <v>0</v>
      </c>
      <c r="N128" s="6" t="str">
        <f>IF(AND(L128&lt;&gt;"East",SUMIFS(merchant_workbook_pivot_table!$D$2:$D$444,merchant_workbook_pivot_table!$C$2:$C$444,E128,merchant_workbook_pivot_table!$B$2:$B$444,J128)&gt;5000),"High-Value Merchant Day",IF(AND(L128&lt;&gt;"East",SUMIFS(merchant_workbook_pivot_table!$D$2:$D$444,merchant_workbook_pivot_table!$C$2:$C$444,E128,merchant_workbook_pivot_table!$B$2:$B$444,J128)&gt;1000),"Mid-Value Merchant Day",""))</f>
        <v/>
      </c>
    </row>
    <row r="129">
      <c r="A129" s="3" t="s">
        <v>196</v>
      </c>
      <c r="B129" s="2">
        <v>276</v>
      </c>
      <c r="C129" s="2">
        <v>31</v>
      </c>
      <c r="D129" s="8" t="s">
        <v>751</v>
      </c>
      <c r="E129" s="6" t="str">
        <f t="shared" si="2"/>
        <v>2026-01-16</v>
      </c>
      <c r="F129" s="2">
        <v>499</v>
      </c>
      <c r="G129" s="3" t="s">
        <v>78</v>
      </c>
      <c r="H129" s="3" t="s">
        <v>64</v>
      </c>
      <c r="I129" s="2">
        <v>44</v>
      </c>
      <c r="J129" s="6" t="str">
        <f>_xlfn.IFNA(VLOOKUP(C129,merchants!$A$1:$D$41,2,0),"Merchant not found")</f>
        <v>Merchant_031</v>
      </c>
      <c r="K129" s="6" t="str">
        <f>_xlfn.IFNA(VLOOKUP(C129,merchants!$A$1:$D$41,3,0),"Merchant not found")</f>
        <v>bill_payment</v>
      </c>
      <c r="L129" s="6" t="str">
        <f>_xlfn.IFNA(VLOOKUP(C129,merchants!$A$1:$D$41,4,0),"Merchant not found")</f>
        <v>East</v>
      </c>
      <c r="M129" s="9">
        <f t="shared" si="3"/>
        <v>9.9800000000000004</v>
      </c>
      <c r="N129" s="6" t="str">
        <f>IF(AND(L129&lt;&gt;"East",SUMIFS(merchant_workbook_pivot_table!$D$2:$D$444,merchant_workbook_pivot_table!$C$2:$C$444,E129,merchant_workbook_pivot_table!$B$2:$B$444,J129)&gt;5000),"High-Value Merchant Day",IF(AND(L129&lt;&gt;"East",SUMIFS(merchant_workbook_pivot_table!$D$2:$D$444,merchant_workbook_pivot_table!$C$2:$C$444,E129,merchant_workbook_pivot_table!$B$2:$B$444,J129)&gt;1000),"Mid-Value Merchant Day",""))</f>
        <v/>
      </c>
    </row>
    <row r="130">
      <c r="A130" s="3" t="s">
        <v>197</v>
      </c>
      <c r="B130" s="2">
        <v>279</v>
      </c>
      <c r="C130" s="2">
        <v>25</v>
      </c>
      <c r="D130" s="8" t="s">
        <v>752</v>
      </c>
      <c r="E130" s="6" t="str">
        <f t="shared" ref="E130:E193" si="4">LEFT(D130,10)</f>
        <v>2026-01-11</v>
      </c>
      <c r="F130" s="2">
        <v>799</v>
      </c>
      <c r="G130" s="3" t="s">
        <v>66</v>
      </c>
      <c r="H130" s="3" t="s">
        <v>64</v>
      </c>
      <c r="I130" s="2">
        <v>58</v>
      </c>
      <c r="J130" s="6" t="str">
        <f>_xlfn.IFNA(VLOOKUP(C130,merchants!$A$1:$D$41,2,0),"Merchant not found")</f>
        <v>Merchant_025</v>
      </c>
      <c r="K130" s="6" t="str">
        <f>_xlfn.IFNA(VLOOKUP(C130,merchants!$A$1:$D$41,3,0),"Merchant not found")</f>
        <v>travel</v>
      </c>
      <c r="L130" s="6" t="str">
        <f>_xlfn.IFNA(VLOOKUP(C130,merchants!$A$1:$D$41,4,0),"Merchant not found")</f>
        <v>South</v>
      </c>
      <c r="M130" s="9">
        <f t="shared" ref="M130:M193" si="5">F130*(HLOOKUP(G130,$Q$1:$T$2,2,0))</f>
        <v>0</v>
      </c>
      <c r="N130" s="6" t="str">
        <f>IF(AND(L130&lt;&gt;"East",SUMIFS(merchant_workbook_pivot_table!$D$2:$D$444,merchant_workbook_pivot_table!$C$2:$C$444,E130,merchant_workbook_pivot_table!$B$2:$B$444,J130)&gt;5000),"High-Value Merchant Day",IF(AND(L130&lt;&gt;"East",SUMIFS(merchant_workbook_pivot_table!$D$2:$D$444,merchant_workbook_pivot_table!$C$2:$C$444,E130,merchant_workbook_pivot_table!$B$2:$B$444,J130)&gt;1000),"Mid-Value Merchant Day",""))</f>
        <v/>
      </c>
    </row>
    <row r="131">
      <c r="A131" s="3" t="s">
        <v>198</v>
      </c>
      <c r="B131" s="2">
        <v>97</v>
      </c>
      <c r="C131" s="2">
        <v>16</v>
      </c>
      <c r="D131" s="8" t="s">
        <v>753</v>
      </c>
      <c r="E131" s="6" t="str">
        <f t="shared" si="4"/>
        <v>2026-01-30</v>
      </c>
      <c r="F131" s="2">
        <v>799</v>
      </c>
      <c r="G131" s="3" t="s">
        <v>78</v>
      </c>
      <c r="H131" s="3" t="s">
        <v>64</v>
      </c>
      <c r="I131" s="2">
        <v>73</v>
      </c>
      <c r="J131" s="6" t="str">
        <f>_xlfn.IFNA(VLOOKUP(C131,merchants!$A$1:$D$41,2,0),"Merchant not found")</f>
        <v>Merchant_016</v>
      </c>
      <c r="K131" s="6" t="str">
        <f>_xlfn.IFNA(VLOOKUP(C131,merchants!$A$1:$D$41,3,0),"Merchant not found")</f>
        <v>bill_payment</v>
      </c>
      <c r="L131" s="6" t="str">
        <f>_xlfn.IFNA(VLOOKUP(C131,merchants!$A$1:$D$41,4,0),"Merchant not found")</f>
        <v>West</v>
      </c>
      <c r="M131" s="9">
        <f t="shared" si="5"/>
        <v>15.98</v>
      </c>
      <c r="N131" s="6" t="str">
        <f>IF(AND(L131&lt;&gt;"East",SUMIFS(merchant_workbook_pivot_table!$D$2:$D$444,merchant_workbook_pivot_table!$C$2:$C$444,E131,merchant_workbook_pivot_table!$B$2:$B$444,J131)&gt;5000),"High-Value Merchant Day",IF(AND(L131&lt;&gt;"East",SUMIFS(merchant_workbook_pivot_table!$D$2:$D$444,merchant_workbook_pivot_table!$C$2:$C$444,E131,merchant_workbook_pivot_table!$B$2:$B$444,J131)&gt;1000),"Mid-Value Merchant Day",""))</f>
        <v/>
      </c>
    </row>
    <row r="132">
      <c r="A132" s="3" t="s">
        <v>199</v>
      </c>
      <c r="B132" s="2">
        <v>211</v>
      </c>
      <c r="C132" s="2">
        <v>3</v>
      </c>
      <c r="D132" s="8" t="s">
        <v>754</v>
      </c>
      <c r="E132" s="6" t="str">
        <f t="shared" si="4"/>
        <v>2026-01-13</v>
      </c>
      <c r="F132" s="2">
        <v>149</v>
      </c>
      <c r="G132" s="3" t="s">
        <v>66</v>
      </c>
      <c r="H132" s="3" t="s">
        <v>92</v>
      </c>
      <c r="I132" s="2">
        <v>40</v>
      </c>
      <c r="J132" s="6" t="str">
        <f>_xlfn.IFNA(VLOOKUP(C132,merchants!$A$1:$D$41,2,0),"Merchant not found")</f>
        <v>Merchant_003</v>
      </c>
      <c r="K132" s="6" t="str">
        <f>_xlfn.IFNA(VLOOKUP(C132,merchants!$A$1:$D$41,3,0),"Merchant not found")</f>
        <v>grocery</v>
      </c>
      <c r="L132" s="6" t="str">
        <f>_xlfn.IFNA(VLOOKUP(C132,merchants!$A$1:$D$41,4,0),"Merchant not found")</f>
        <v>East</v>
      </c>
      <c r="M132" s="9">
        <f t="shared" si="5"/>
        <v>0</v>
      </c>
      <c r="N132" s="6" t="str">
        <f>IF(AND(L132&lt;&gt;"East",SUMIFS(merchant_workbook_pivot_table!$D$2:$D$444,merchant_workbook_pivot_table!$C$2:$C$444,E132,merchant_workbook_pivot_table!$B$2:$B$444,J132)&gt;5000),"High-Value Merchant Day",IF(AND(L132&lt;&gt;"East",SUMIFS(merchant_workbook_pivot_table!$D$2:$D$444,merchant_workbook_pivot_table!$C$2:$C$444,E132,merchant_workbook_pivot_table!$B$2:$B$444,J132)&gt;1000),"Mid-Value Merchant Day",""))</f>
        <v/>
      </c>
    </row>
    <row r="133">
      <c r="A133" s="3" t="s">
        <v>200</v>
      </c>
      <c r="B133" s="2">
        <v>196</v>
      </c>
      <c r="C133" s="2">
        <v>25</v>
      </c>
      <c r="D133" s="8" t="s">
        <v>755</v>
      </c>
      <c r="E133" s="6" t="str">
        <f t="shared" si="4"/>
        <v>2026-01-24</v>
      </c>
      <c r="F133" s="2">
        <v>149</v>
      </c>
      <c r="G133" s="3" t="s">
        <v>69</v>
      </c>
      <c r="H133" s="3" t="s">
        <v>64</v>
      </c>
      <c r="I133" s="2">
        <v>84</v>
      </c>
      <c r="J133" s="6" t="str">
        <f>_xlfn.IFNA(VLOOKUP(C133,merchants!$A$1:$D$41,2,0),"Merchant not found")</f>
        <v>Merchant_025</v>
      </c>
      <c r="K133" s="6" t="str">
        <f>_xlfn.IFNA(VLOOKUP(C133,merchants!$A$1:$D$41,3,0),"Merchant not found")</f>
        <v>travel</v>
      </c>
      <c r="L133" s="6" t="str">
        <f>_xlfn.IFNA(VLOOKUP(C133,merchants!$A$1:$D$41,4,0),"Merchant not found")</f>
        <v>South</v>
      </c>
      <c r="M133" s="9">
        <f t="shared" si="5"/>
        <v>1.49</v>
      </c>
      <c r="N133" s="6" t="str">
        <f>IF(AND(L133&lt;&gt;"East",SUMIFS(merchant_workbook_pivot_table!$D$2:$D$444,merchant_workbook_pivot_table!$C$2:$C$444,E133,merchant_workbook_pivot_table!$B$2:$B$444,J133)&gt;5000),"High-Value Merchant Day",IF(AND(L133&lt;&gt;"East",SUMIFS(merchant_workbook_pivot_table!$D$2:$D$444,merchant_workbook_pivot_table!$C$2:$C$444,E133,merchant_workbook_pivot_table!$B$2:$B$444,J133)&gt;1000),"Mid-Value Merchant Day",""))</f>
        <v/>
      </c>
    </row>
    <row r="134">
      <c r="A134" s="3" t="s">
        <v>201</v>
      </c>
      <c r="B134" s="2">
        <v>254</v>
      </c>
      <c r="C134" s="2">
        <v>3</v>
      </c>
      <c r="D134" s="8" t="s">
        <v>756</v>
      </c>
      <c r="E134" s="6" t="str">
        <f t="shared" si="4"/>
        <v>2026-01-26</v>
      </c>
      <c r="F134" s="2">
        <v>149</v>
      </c>
      <c r="G134" s="3" t="s">
        <v>78</v>
      </c>
      <c r="H134" s="3" t="s">
        <v>64</v>
      </c>
      <c r="I134" s="2">
        <v>16</v>
      </c>
      <c r="J134" s="6" t="str">
        <f>_xlfn.IFNA(VLOOKUP(C134,merchants!$A$1:$D$41,2,0),"Merchant not found")</f>
        <v>Merchant_003</v>
      </c>
      <c r="K134" s="6" t="str">
        <f>_xlfn.IFNA(VLOOKUP(C134,merchants!$A$1:$D$41,3,0),"Merchant not found")</f>
        <v>grocery</v>
      </c>
      <c r="L134" s="6" t="str">
        <f>_xlfn.IFNA(VLOOKUP(C134,merchants!$A$1:$D$41,4,0),"Merchant not found")</f>
        <v>East</v>
      </c>
      <c r="M134" s="9">
        <f t="shared" si="5"/>
        <v>2.98</v>
      </c>
      <c r="N134" s="6" t="str">
        <f>IF(AND(L134&lt;&gt;"East",SUMIFS(merchant_workbook_pivot_table!$D$2:$D$444,merchant_workbook_pivot_table!$C$2:$C$444,E134,merchant_workbook_pivot_table!$B$2:$B$444,J134)&gt;5000),"High-Value Merchant Day",IF(AND(L134&lt;&gt;"East",SUMIFS(merchant_workbook_pivot_table!$D$2:$D$444,merchant_workbook_pivot_table!$C$2:$C$444,E134,merchant_workbook_pivot_table!$B$2:$B$444,J134)&gt;1000),"Mid-Value Merchant Day",""))</f>
        <v/>
      </c>
    </row>
    <row r="135">
      <c r="A135" s="3" t="s">
        <v>202</v>
      </c>
      <c r="B135" s="2">
        <v>52</v>
      </c>
      <c r="C135" s="2">
        <v>29</v>
      </c>
      <c r="D135" s="8" t="s">
        <v>757</v>
      </c>
      <c r="E135" s="6" t="str">
        <f t="shared" si="4"/>
        <v>2026-01-17</v>
      </c>
      <c r="F135" s="2">
        <v>49</v>
      </c>
      <c r="G135" s="3" t="s">
        <v>69</v>
      </c>
      <c r="H135" s="3" t="s">
        <v>64</v>
      </c>
      <c r="I135" s="2">
        <v>12</v>
      </c>
      <c r="J135" s="6" t="str">
        <f>_xlfn.IFNA(VLOOKUP(C135,merchants!$A$1:$D$41,2,0),"Merchant not found")</f>
        <v>Merchant_029</v>
      </c>
      <c r="K135" s="6" t="str">
        <f>_xlfn.IFNA(VLOOKUP(C135,merchants!$A$1:$D$41,3,0),"Merchant not found")</f>
        <v>ecommerce</v>
      </c>
      <c r="L135" s="6" t="str">
        <f>_xlfn.IFNA(VLOOKUP(C135,merchants!$A$1:$D$41,4,0),"Merchant not found")</f>
        <v>North</v>
      </c>
      <c r="M135" s="9">
        <f t="shared" si="5"/>
        <v>0.48999999999999999</v>
      </c>
      <c r="N135" s="6" t="str">
        <f>IF(AND(L135&lt;&gt;"East",SUMIFS(merchant_workbook_pivot_table!$D$2:$D$444,merchant_workbook_pivot_table!$C$2:$C$444,E135,merchant_workbook_pivot_table!$B$2:$B$444,J135)&gt;5000),"High-Value Merchant Day",IF(AND(L135&lt;&gt;"East",SUMIFS(merchant_workbook_pivot_table!$D$2:$D$444,merchant_workbook_pivot_table!$C$2:$C$444,E135,merchant_workbook_pivot_table!$B$2:$B$444,J135)&gt;1000),"Mid-Value Merchant Day",""))</f>
        <v/>
      </c>
    </row>
    <row r="136">
      <c r="A136" s="3" t="s">
        <v>203</v>
      </c>
      <c r="B136" s="2">
        <v>74</v>
      </c>
      <c r="C136" s="2">
        <v>27</v>
      </c>
      <c r="D136" s="8" t="s">
        <v>758</v>
      </c>
      <c r="E136" s="6" t="str">
        <f t="shared" si="4"/>
        <v>2026-01-17</v>
      </c>
      <c r="F136" s="2">
        <v>799</v>
      </c>
      <c r="G136" s="3" t="s">
        <v>66</v>
      </c>
      <c r="H136" s="3" t="s">
        <v>64</v>
      </c>
      <c r="I136" s="2">
        <v>83</v>
      </c>
      <c r="J136" s="6" t="str">
        <f>_xlfn.IFNA(VLOOKUP(C136,merchants!$A$1:$D$41,2,0),"Merchant not found")</f>
        <v>Merchant_027</v>
      </c>
      <c r="K136" s="6" t="str">
        <f>_xlfn.IFNA(VLOOKUP(C136,merchants!$A$1:$D$41,3,0),"Merchant not found")</f>
        <v>ecommerce</v>
      </c>
      <c r="L136" s="6" t="str">
        <f>_xlfn.IFNA(VLOOKUP(C136,merchants!$A$1:$D$41,4,0),"Merchant not found")</f>
        <v>North</v>
      </c>
      <c r="M136" s="9">
        <f t="shared" si="5"/>
        <v>0</v>
      </c>
      <c r="N136" s="6" t="str">
        <f>IF(AND(L136&lt;&gt;"East",SUMIFS(merchant_workbook_pivot_table!$D$2:$D$444,merchant_workbook_pivot_table!$C$2:$C$444,E136,merchant_workbook_pivot_table!$B$2:$B$444,J136)&gt;5000),"High-Value Merchant Day",IF(AND(L136&lt;&gt;"East",SUMIFS(merchant_workbook_pivot_table!$D$2:$D$444,merchant_workbook_pivot_table!$C$2:$C$444,E136,merchant_workbook_pivot_table!$B$2:$B$444,J136)&gt;1000),"Mid-Value Merchant Day",""))</f>
        <v xml:space="preserve">Mid-Value Merchant Day</v>
      </c>
    </row>
    <row r="137">
      <c r="A137" s="3" t="s">
        <v>204</v>
      </c>
      <c r="B137" s="2">
        <v>136</v>
      </c>
      <c r="C137" s="2">
        <v>22</v>
      </c>
      <c r="D137" s="8" t="s">
        <v>759</v>
      </c>
      <c r="E137" s="6" t="str">
        <f t="shared" si="4"/>
        <v>2026-01-05</v>
      </c>
      <c r="F137" s="2">
        <v>149</v>
      </c>
      <c r="G137" s="3" t="s">
        <v>66</v>
      </c>
      <c r="H137" s="3" t="s">
        <v>64</v>
      </c>
      <c r="I137" s="2">
        <v>79</v>
      </c>
      <c r="J137" s="6" t="str">
        <f>_xlfn.IFNA(VLOOKUP(C137,merchants!$A$1:$D$41,2,0),"Merchant not found")</f>
        <v>Merchant_022</v>
      </c>
      <c r="K137" s="6" t="str">
        <f>_xlfn.IFNA(VLOOKUP(C137,merchants!$A$1:$D$41,3,0),"Merchant not found")</f>
        <v>travel</v>
      </c>
      <c r="L137" s="6" t="str">
        <f>_xlfn.IFNA(VLOOKUP(C137,merchants!$A$1:$D$41,4,0),"Merchant not found")</f>
        <v>South</v>
      </c>
      <c r="M137" s="9">
        <f t="shared" si="5"/>
        <v>0</v>
      </c>
      <c r="N137" s="6" t="str">
        <f>IF(AND(L137&lt;&gt;"East",SUMIFS(merchant_workbook_pivot_table!$D$2:$D$444,merchant_workbook_pivot_table!$C$2:$C$444,E137,merchant_workbook_pivot_table!$B$2:$B$444,J137)&gt;5000),"High-Value Merchant Day",IF(AND(L137&lt;&gt;"East",SUMIFS(merchant_workbook_pivot_table!$D$2:$D$444,merchant_workbook_pivot_table!$C$2:$C$444,E137,merchant_workbook_pivot_table!$B$2:$B$444,J137)&gt;1000),"Mid-Value Merchant Day",""))</f>
        <v/>
      </c>
    </row>
    <row r="138">
      <c r="A138" s="3" t="s">
        <v>205</v>
      </c>
      <c r="B138" s="2">
        <v>42</v>
      </c>
      <c r="C138" s="2">
        <v>22</v>
      </c>
      <c r="D138" s="8" t="s">
        <v>760</v>
      </c>
      <c r="E138" s="6" t="str">
        <f t="shared" si="4"/>
        <v>2026-01-23</v>
      </c>
      <c r="F138" s="2">
        <v>49</v>
      </c>
      <c r="G138" s="3" t="s">
        <v>66</v>
      </c>
      <c r="H138" s="3" t="s">
        <v>64</v>
      </c>
      <c r="I138" s="2">
        <v>86</v>
      </c>
      <c r="J138" s="6" t="str">
        <f>_xlfn.IFNA(VLOOKUP(C138,merchants!$A$1:$D$41,2,0),"Merchant not found")</f>
        <v>Merchant_022</v>
      </c>
      <c r="K138" s="6" t="str">
        <f>_xlfn.IFNA(VLOOKUP(C138,merchants!$A$1:$D$41,3,0),"Merchant not found")</f>
        <v>travel</v>
      </c>
      <c r="L138" s="6" t="str">
        <f>_xlfn.IFNA(VLOOKUP(C138,merchants!$A$1:$D$41,4,0),"Merchant not found")</f>
        <v>South</v>
      </c>
      <c r="M138" s="9">
        <f t="shared" si="5"/>
        <v>0</v>
      </c>
      <c r="N138" s="6" t="str">
        <f>IF(AND(L138&lt;&gt;"East",SUMIFS(merchant_workbook_pivot_table!$D$2:$D$444,merchant_workbook_pivot_table!$C$2:$C$444,E138,merchant_workbook_pivot_table!$B$2:$B$444,J138)&gt;5000),"High-Value Merchant Day",IF(AND(L138&lt;&gt;"East",SUMIFS(merchant_workbook_pivot_table!$D$2:$D$444,merchant_workbook_pivot_table!$C$2:$C$444,E138,merchant_workbook_pivot_table!$B$2:$B$444,J138)&gt;1000),"Mid-Value Merchant Day",""))</f>
        <v/>
      </c>
    </row>
    <row r="139">
      <c r="A139" s="3" t="s">
        <v>206</v>
      </c>
      <c r="B139" s="2">
        <v>163</v>
      </c>
      <c r="C139" s="2">
        <v>32</v>
      </c>
      <c r="D139" s="8" t="s">
        <v>761</v>
      </c>
      <c r="E139" s="6" t="str">
        <f t="shared" si="4"/>
        <v>2026-01-28</v>
      </c>
      <c r="F139" s="2">
        <v>2999</v>
      </c>
      <c r="G139" s="3" t="s">
        <v>63</v>
      </c>
      <c r="H139" s="3" t="s">
        <v>79</v>
      </c>
      <c r="I139" s="2">
        <v>69</v>
      </c>
      <c r="J139" s="6" t="str">
        <f>_xlfn.IFNA(VLOOKUP(C139,merchants!$A$1:$D$41,2,0),"Merchant not found")</f>
        <v>Merchant_032</v>
      </c>
      <c r="K139" s="6" t="str">
        <f>_xlfn.IFNA(VLOOKUP(C139,merchants!$A$1:$D$41,3,0),"Merchant not found")</f>
        <v>food_delivery</v>
      </c>
      <c r="L139" s="6" t="str">
        <f>_xlfn.IFNA(VLOOKUP(C139,merchants!$A$1:$D$41,4,0),"Merchant not found")</f>
        <v>West</v>
      </c>
      <c r="M139" s="9">
        <f t="shared" si="5"/>
        <v>44.984999999999999</v>
      </c>
      <c r="N139" s="6" t="str">
        <f>IF(AND(L139&lt;&gt;"East",SUMIFS(merchant_workbook_pivot_table!$D$2:$D$444,merchant_workbook_pivot_table!$C$2:$C$444,E139,merchant_workbook_pivot_table!$B$2:$B$444,J139)&gt;5000),"High-Value Merchant Day",IF(AND(L139&lt;&gt;"East",SUMIFS(merchant_workbook_pivot_table!$D$2:$D$444,merchant_workbook_pivot_table!$C$2:$C$444,E139,merchant_workbook_pivot_table!$B$2:$B$444,J139)&gt;1000),"Mid-Value Merchant Day",""))</f>
        <v xml:space="preserve">Mid-Value Merchant Day</v>
      </c>
    </row>
    <row r="140">
      <c r="A140" s="3" t="s">
        <v>207</v>
      </c>
      <c r="B140" s="2">
        <v>121</v>
      </c>
      <c r="C140" s="2">
        <v>19</v>
      </c>
      <c r="D140" s="8" t="s">
        <v>762</v>
      </c>
      <c r="E140" s="6" t="str">
        <f t="shared" si="4"/>
        <v>2026-01-02</v>
      </c>
      <c r="F140" s="2">
        <v>149</v>
      </c>
      <c r="G140" s="3" t="s">
        <v>66</v>
      </c>
      <c r="H140" s="3" t="s">
        <v>64</v>
      </c>
      <c r="I140" s="2">
        <v>29</v>
      </c>
      <c r="J140" s="6" t="str">
        <f>_xlfn.IFNA(VLOOKUP(C140,merchants!$A$1:$D$41,2,0),"Merchant not found")</f>
        <v>Merchant_019</v>
      </c>
      <c r="K140" s="6" t="str">
        <f>_xlfn.IFNA(VLOOKUP(C140,merchants!$A$1:$D$41,3,0),"Merchant not found")</f>
        <v>grocery</v>
      </c>
      <c r="L140" s="6" t="str">
        <f>_xlfn.IFNA(VLOOKUP(C140,merchants!$A$1:$D$41,4,0),"Merchant not found")</f>
        <v>North</v>
      </c>
      <c r="M140" s="9">
        <f t="shared" si="5"/>
        <v>0</v>
      </c>
      <c r="N140" s="6" t="str">
        <f>IF(AND(L140&lt;&gt;"East",SUMIFS(merchant_workbook_pivot_table!$D$2:$D$444,merchant_workbook_pivot_table!$C$2:$C$444,E140,merchant_workbook_pivot_table!$B$2:$B$444,J140)&gt;5000),"High-Value Merchant Day",IF(AND(L140&lt;&gt;"East",SUMIFS(merchant_workbook_pivot_table!$D$2:$D$444,merchant_workbook_pivot_table!$C$2:$C$444,E140,merchant_workbook_pivot_table!$B$2:$B$444,J140)&gt;1000),"Mid-Value Merchant Day",""))</f>
        <v/>
      </c>
    </row>
    <row r="141">
      <c r="A141" s="3" t="s">
        <v>208</v>
      </c>
      <c r="B141" s="2">
        <v>51</v>
      </c>
      <c r="C141" s="2">
        <v>7</v>
      </c>
      <c r="D141" s="8" t="s">
        <v>763</v>
      </c>
      <c r="E141" s="6" t="str">
        <f t="shared" si="4"/>
        <v>2026-01-24</v>
      </c>
      <c r="F141" s="2">
        <v>499</v>
      </c>
      <c r="G141" s="3" t="s">
        <v>78</v>
      </c>
      <c r="H141" s="3" t="s">
        <v>64</v>
      </c>
      <c r="I141" s="2">
        <v>56</v>
      </c>
      <c r="J141" s="6" t="str">
        <f>_xlfn.IFNA(VLOOKUP(C141,merchants!$A$1:$D$41,2,0),"Merchant not found")</f>
        <v>Merchant_007</v>
      </c>
      <c r="K141" s="6" t="str">
        <f>_xlfn.IFNA(VLOOKUP(C141,merchants!$A$1:$D$41,3,0),"Merchant not found")</f>
        <v>food_delivery</v>
      </c>
      <c r="L141" s="6" t="str">
        <f>_xlfn.IFNA(VLOOKUP(C141,merchants!$A$1:$D$41,4,0),"Merchant not found")</f>
        <v>East</v>
      </c>
      <c r="M141" s="9">
        <f t="shared" si="5"/>
        <v>9.9800000000000004</v>
      </c>
      <c r="N141" s="6" t="str">
        <f>IF(AND(L141&lt;&gt;"East",SUMIFS(merchant_workbook_pivot_table!$D$2:$D$444,merchant_workbook_pivot_table!$C$2:$C$444,E141,merchant_workbook_pivot_table!$B$2:$B$444,J141)&gt;5000),"High-Value Merchant Day",IF(AND(L141&lt;&gt;"East",SUMIFS(merchant_workbook_pivot_table!$D$2:$D$444,merchant_workbook_pivot_table!$C$2:$C$444,E141,merchant_workbook_pivot_table!$B$2:$B$444,J141)&gt;1000),"Mid-Value Merchant Day",""))</f>
        <v/>
      </c>
    </row>
    <row r="142">
      <c r="A142" s="3" t="s">
        <v>209</v>
      </c>
      <c r="B142" s="2">
        <v>15</v>
      </c>
      <c r="C142" s="2">
        <v>3</v>
      </c>
      <c r="D142" s="8" t="s">
        <v>764</v>
      </c>
      <c r="E142" s="6" t="str">
        <f t="shared" si="4"/>
        <v>2026-01-06</v>
      </c>
      <c r="F142" s="2">
        <v>799</v>
      </c>
      <c r="G142" s="3" t="s">
        <v>66</v>
      </c>
      <c r="H142" s="3" t="s">
        <v>64</v>
      </c>
      <c r="I142" s="2">
        <v>41</v>
      </c>
      <c r="J142" s="6" t="str">
        <f>_xlfn.IFNA(VLOOKUP(C142,merchants!$A$1:$D$41,2,0),"Merchant not found")</f>
        <v>Merchant_003</v>
      </c>
      <c r="K142" s="6" t="str">
        <f>_xlfn.IFNA(VLOOKUP(C142,merchants!$A$1:$D$41,3,0),"Merchant not found")</f>
        <v>grocery</v>
      </c>
      <c r="L142" s="6" t="str">
        <f>_xlfn.IFNA(VLOOKUP(C142,merchants!$A$1:$D$41,4,0),"Merchant not found")</f>
        <v>East</v>
      </c>
      <c r="M142" s="9">
        <f t="shared" si="5"/>
        <v>0</v>
      </c>
      <c r="N142" s="6" t="str">
        <f>IF(AND(L142&lt;&gt;"East",SUMIFS(merchant_workbook_pivot_table!$D$2:$D$444,merchant_workbook_pivot_table!$C$2:$C$444,E142,merchant_workbook_pivot_table!$B$2:$B$444,J142)&gt;5000),"High-Value Merchant Day",IF(AND(L142&lt;&gt;"East",SUMIFS(merchant_workbook_pivot_table!$D$2:$D$444,merchant_workbook_pivot_table!$C$2:$C$444,E142,merchant_workbook_pivot_table!$B$2:$B$444,J142)&gt;1000),"Mid-Value Merchant Day",""))</f>
        <v/>
      </c>
    </row>
    <row r="143">
      <c r="A143" s="3" t="s">
        <v>210</v>
      </c>
      <c r="B143" s="2">
        <v>184</v>
      </c>
      <c r="C143" s="2">
        <v>24</v>
      </c>
      <c r="D143" s="8" t="s">
        <v>765</v>
      </c>
      <c r="E143" s="6" t="str">
        <f t="shared" si="4"/>
        <v>2026-01-26</v>
      </c>
      <c r="F143" s="2">
        <v>49</v>
      </c>
      <c r="G143" s="3" t="s">
        <v>66</v>
      </c>
      <c r="H143" s="3" t="s">
        <v>64</v>
      </c>
      <c r="I143" s="2">
        <v>55</v>
      </c>
      <c r="J143" s="6" t="str">
        <f>_xlfn.IFNA(VLOOKUP(C143,merchants!$A$1:$D$41,2,0),"Merchant not found")</f>
        <v>Merchant_024</v>
      </c>
      <c r="K143" s="6" t="str">
        <f>_xlfn.IFNA(VLOOKUP(C143,merchants!$A$1:$D$41,3,0),"Merchant not found")</f>
        <v>grocery</v>
      </c>
      <c r="L143" s="6" t="str">
        <f>_xlfn.IFNA(VLOOKUP(C143,merchants!$A$1:$D$41,4,0),"Merchant not found")</f>
        <v>North</v>
      </c>
      <c r="M143" s="9">
        <f t="shared" si="5"/>
        <v>0</v>
      </c>
      <c r="N143" s="6" t="str">
        <f>IF(AND(L143&lt;&gt;"East",SUMIFS(merchant_workbook_pivot_table!$D$2:$D$444,merchant_workbook_pivot_table!$C$2:$C$444,E143,merchant_workbook_pivot_table!$B$2:$B$444,J143)&gt;5000),"High-Value Merchant Day",IF(AND(L143&lt;&gt;"East",SUMIFS(merchant_workbook_pivot_table!$D$2:$D$444,merchant_workbook_pivot_table!$C$2:$C$444,E143,merchant_workbook_pivot_table!$B$2:$B$444,J143)&gt;1000),"Mid-Value Merchant Day",""))</f>
        <v/>
      </c>
    </row>
    <row r="144">
      <c r="A144" s="3" t="s">
        <v>211</v>
      </c>
      <c r="B144" s="2">
        <v>211</v>
      </c>
      <c r="C144" s="2">
        <v>37</v>
      </c>
      <c r="D144" s="8" t="s">
        <v>766</v>
      </c>
      <c r="E144" s="6" t="str">
        <f t="shared" si="4"/>
        <v>2026-01-05</v>
      </c>
      <c r="F144" s="2">
        <v>1499</v>
      </c>
      <c r="G144" s="3" t="s">
        <v>66</v>
      </c>
      <c r="H144" s="3" t="s">
        <v>64</v>
      </c>
      <c r="I144" s="2">
        <v>87</v>
      </c>
      <c r="J144" s="6" t="str">
        <f>_xlfn.IFNA(VLOOKUP(C144,merchants!$A$1:$D$41,2,0),"Merchant not found")</f>
        <v>Merchant_037</v>
      </c>
      <c r="K144" s="6" t="str">
        <f>_xlfn.IFNA(VLOOKUP(C144,merchants!$A$1:$D$41,3,0),"Merchant not found")</f>
        <v>entertainment</v>
      </c>
      <c r="L144" s="6" t="str">
        <f>_xlfn.IFNA(VLOOKUP(C144,merchants!$A$1:$D$41,4,0),"Merchant not found")</f>
        <v>South</v>
      </c>
      <c r="M144" s="9">
        <f t="shared" si="5"/>
        <v>0</v>
      </c>
      <c r="N144" s="6" t="str">
        <f>IF(AND(L144&lt;&gt;"East",SUMIFS(merchant_workbook_pivot_table!$D$2:$D$444,merchant_workbook_pivot_table!$C$2:$C$444,E144,merchant_workbook_pivot_table!$B$2:$B$444,J144)&gt;5000),"High-Value Merchant Day",IF(AND(L144&lt;&gt;"East",SUMIFS(merchant_workbook_pivot_table!$D$2:$D$444,merchant_workbook_pivot_table!$C$2:$C$444,E144,merchant_workbook_pivot_table!$B$2:$B$444,J144)&gt;1000),"Mid-Value Merchant Day",""))</f>
        <v xml:space="preserve">Mid-Value Merchant Day</v>
      </c>
    </row>
    <row r="145">
      <c r="A145" s="3" t="s">
        <v>212</v>
      </c>
      <c r="B145" s="2">
        <v>90</v>
      </c>
      <c r="C145" s="2">
        <v>6</v>
      </c>
      <c r="D145" s="8" t="s">
        <v>767</v>
      </c>
      <c r="E145" s="6" t="str">
        <f t="shared" si="4"/>
        <v>2026-01-26</v>
      </c>
      <c r="F145" s="2">
        <v>49</v>
      </c>
      <c r="G145" s="3" t="s">
        <v>78</v>
      </c>
      <c r="H145" s="3" t="s">
        <v>64</v>
      </c>
      <c r="I145" s="2">
        <v>78</v>
      </c>
      <c r="J145" s="6" t="str">
        <f>_xlfn.IFNA(VLOOKUP(C145,merchants!$A$1:$D$41,2,0),"Merchant not found")</f>
        <v>Merchant_006</v>
      </c>
      <c r="K145" s="6" t="str">
        <f>_xlfn.IFNA(VLOOKUP(C145,merchants!$A$1:$D$41,3,0),"Merchant not found")</f>
        <v>food_delivery</v>
      </c>
      <c r="L145" s="6" t="str">
        <f>_xlfn.IFNA(VLOOKUP(C145,merchants!$A$1:$D$41,4,0),"Merchant not found")</f>
        <v>South</v>
      </c>
      <c r="M145" s="9">
        <f t="shared" si="5"/>
        <v>0.97999999999999998</v>
      </c>
      <c r="N145" s="6" t="str">
        <f>IF(AND(L145&lt;&gt;"East",SUMIFS(merchant_workbook_pivot_table!$D$2:$D$444,merchant_workbook_pivot_table!$C$2:$C$444,E145,merchant_workbook_pivot_table!$B$2:$B$444,J145)&gt;5000),"High-Value Merchant Day",IF(AND(L145&lt;&gt;"East",SUMIFS(merchant_workbook_pivot_table!$D$2:$D$444,merchant_workbook_pivot_table!$C$2:$C$444,E145,merchant_workbook_pivot_table!$B$2:$B$444,J145)&gt;1000),"Mid-Value Merchant Day",""))</f>
        <v/>
      </c>
    </row>
    <row r="146">
      <c r="A146" s="3" t="s">
        <v>213</v>
      </c>
      <c r="B146" s="2">
        <v>350</v>
      </c>
      <c r="C146" s="2">
        <v>16</v>
      </c>
      <c r="D146" s="8" t="s">
        <v>768</v>
      </c>
      <c r="E146" s="6" t="str">
        <f t="shared" si="4"/>
        <v>2026-01-28</v>
      </c>
      <c r="F146" s="2">
        <v>49</v>
      </c>
      <c r="G146" s="3" t="s">
        <v>66</v>
      </c>
      <c r="H146" s="3" t="s">
        <v>64</v>
      </c>
      <c r="I146" s="2">
        <v>63</v>
      </c>
      <c r="J146" s="6" t="str">
        <f>_xlfn.IFNA(VLOOKUP(C146,merchants!$A$1:$D$41,2,0),"Merchant not found")</f>
        <v>Merchant_016</v>
      </c>
      <c r="K146" s="6" t="str">
        <f>_xlfn.IFNA(VLOOKUP(C146,merchants!$A$1:$D$41,3,0),"Merchant not found")</f>
        <v>bill_payment</v>
      </c>
      <c r="L146" s="6" t="str">
        <f>_xlfn.IFNA(VLOOKUP(C146,merchants!$A$1:$D$41,4,0),"Merchant not found")</f>
        <v>West</v>
      </c>
      <c r="M146" s="9">
        <f t="shared" si="5"/>
        <v>0</v>
      </c>
      <c r="N146" s="6" t="str">
        <f>IF(AND(L146&lt;&gt;"East",SUMIFS(merchant_workbook_pivot_table!$D$2:$D$444,merchant_workbook_pivot_table!$C$2:$C$444,E146,merchant_workbook_pivot_table!$B$2:$B$444,J146)&gt;5000),"High-Value Merchant Day",IF(AND(L146&lt;&gt;"East",SUMIFS(merchant_workbook_pivot_table!$D$2:$D$444,merchant_workbook_pivot_table!$C$2:$C$444,E146,merchant_workbook_pivot_table!$B$2:$B$444,J146)&gt;1000),"Mid-Value Merchant Day",""))</f>
        <v/>
      </c>
    </row>
    <row r="147">
      <c r="A147" s="3" t="s">
        <v>214</v>
      </c>
      <c r="B147" s="2">
        <v>119</v>
      </c>
      <c r="C147" s="2">
        <v>30</v>
      </c>
      <c r="D147" s="8" t="s">
        <v>769</v>
      </c>
      <c r="E147" s="6" t="str">
        <f t="shared" si="4"/>
        <v>2026-01-30</v>
      </c>
      <c r="F147" s="2">
        <v>49</v>
      </c>
      <c r="G147" s="3" t="s">
        <v>78</v>
      </c>
      <c r="H147" s="3" t="s">
        <v>64</v>
      </c>
      <c r="I147" s="2">
        <v>81</v>
      </c>
      <c r="J147" s="6" t="str">
        <f>_xlfn.IFNA(VLOOKUP(C147,merchants!$A$1:$D$41,2,0),"Merchant not found")</f>
        <v>Merchant_030</v>
      </c>
      <c r="K147" s="6" t="str">
        <f>_xlfn.IFNA(VLOOKUP(C147,merchants!$A$1:$D$41,3,0),"Merchant not found")</f>
        <v>travel</v>
      </c>
      <c r="L147" s="6" t="str">
        <f>_xlfn.IFNA(VLOOKUP(C147,merchants!$A$1:$D$41,4,0),"Merchant not found")</f>
        <v>West</v>
      </c>
      <c r="M147" s="9">
        <f t="shared" si="5"/>
        <v>0.97999999999999998</v>
      </c>
      <c r="N147" s="6" t="str">
        <f>IF(AND(L147&lt;&gt;"East",SUMIFS(merchant_workbook_pivot_table!$D$2:$D$444,merchant_workbook_pivot_table!$C$2:$C$444,E147,merchant_workbook_pivot_table!$B$2:$B$444,J147)&gt;5000),"High-Value Merchant Day",IF(AND(L147&lt;&gt;"East",SUMIFS(merchant_workbook_pivot_table!$D$2:$D$444,merchant_workbook_pivot_table!$C$2:$C$444,E147,merchant_workbook_pivot_table!$B$2:$B$444,J147)&gt;1000),"Mid-Value Merchant Day",""))</f>
        <v/>
      </c>
    </row>
    <row r="148">
      <c r="A148" s="3" t="s">
        <v>215</v>
      </c>
      <c r="B148" s="2">
        <v>342</v>
      </c>
      <c r="C148" s="2">
        <v>1</v>
      </c>
      <c r="D148" s="8" t="s">
        <v>770</v>
      </c>
      <c r="E148" s="6" t="str">
        <f t="shared" si="4"/>
        <v>2026-01-09</v>
      </c>
      <c r="F148" s="2">
        <v>49</v>
      </c>
      <c r="G148" s="3" t="s">
        <v>66</v>
      </c>
      <c r="H148" s="3" t="s">
        <v>64</v>
      </c>
      <c r="I148" s="2">
        <v>59</v>
      </c>
      <c r="J148" s="6" t="str">
        <f>_xlfn.IFNA(VLOOKUP(C148,merchants!$A$1:$D$41,2,0),"Merchant not found")</f>
        <v>Merchant_001</v>
      </c>
      <c r="K148" s="6" t="str">
        <f>_xlfn.IFNA(VLOOKUP(C148,merchants!$A$1:$D$41,3,0),"Merchant not found")</f>
        <v>ecommerce</v>
      </c>
      <c r="L148" s="6" t="str">
        <f>_xlfn.IFNA(VLOOKUP(C148,merchants!$A$1:$D$41,4,0),"Merchant not found")</f>
        <v>South</v>
      </c>
      <c r="M148" s="9">
        <f t="shared" si="5"/>
        <v>0</v>
      </c>
      <c r="N148" s="6" t="str">
        <f>IF(AND(L148&lt;&gt;"East",SUMIFS(merchant_workbook_pivot_table!$D$2:$D$444,merchant_workbook_pivot_table!$C$2:$C$444,E148,merchant_workbook_pivot_table!$B$2:$B$444,J148)&gt;5000),"High-Value Merchant Day",IF(AND(L148&lt;&gt;"East",SUMIFS(merchant_workbook_pivot_table!$D$2:$D$444,merchant_workbook_pivot_table!$C$2:$C$444,E148,merchant_workbook_pivot_table!$B$2:$B$444,J148)&gt;1000),"Mid-Value Merchant Day",""))</f>
        <v xml:space="preserve">High-Value Merchant Day</v>
      </c>
    </row>
    <row r="149">
      <c r="A149" s="3" t="s">
        <v>216</v>
      </c>
      <c r="B149" s="2">
        <v>280</v>
      </c>
      <c r="C149" s="2">
        <v>11</v>
      </c>
      <c r="D149" s="8" t="s">
        <v>771</v>
      </c>
      <c r="E149" s="6" t="str">
        <f t="shared" si="4"/>
        <v>2026-01-29</v>
      </c>
      <c r="F149" s="2">
        <v>149</v>
      </c>
      <c r="G149" s="3" t="s">
        <v>66</v>
      </c>
      <c r="H149" s="3" t="s">
        <v>92</v>
      </c>
      <c r="I149" s="2">
        <v>9</v>
      </c>
      <c r="J149" s="6" t="str">
        <f>_xlfn.IFNA(VLOOKUP(C149,merchants!$A$1:$D$41,2,0),"Merchant not found")</f>
        <v>Merchant_011</v>
      </c>
      <c r="K149" s="6" t="str">
        <f>_xlfn.IFNA(VLOOKUP(C149,merchants!$A$1:$D$41,3,0),"Merchant not found")</f>
        <v>ecommerce</v>
      </c>
      <c r="L149" s="6" t="str">
        <f>_xlfn.IFNA(VLOOKUP(C149,merchants!$A$1:$D$41,4,0),"Merchant not found")</f>
        <v>North</v>
      </c>
      <c r="M149" s="9">
        <f t="shared" si="5"/>
        <v>0</v>
      </c>
      <c r="N149" s="6" t="str">
        <f>IF(AND(L149&lt;&gt;"East",SUMIFS(merchant_workbook_pivot_table!$D$2:$D$444,merchant_workbook_pivot_table!$C$2:$C$444,E149,merchant_workbook_pivot_table!$B$2:$B$444,J149)&gt;5000),"High-Value Merchant Day",IF(AND(L149&lt;&gt;"East",SUMIFS(merchant_workbook_pivot_table!$D$2:$D$444,merchant_workbook_pivot_table!$C$2:$C$444,E149,merchant_workbook_pivot_table!$B$2:$B$444,J149)&gt;1000),"Mid-Value Merchant Day",""))</f>
        <v/>
      </c>
    </row>
    <row r="150">
      <c r="A150" s="3" t="s">
        <v>217</v>
      </c>
      <c r="B150" s="2">
        <v>154</v>
      </c>
      <c r="C150" s="2">
        <v>28</v>
      </c>
      <c r="D150" s="8" t="s">
        <v>772</v>
      </c>
      <c r="E150" s="6" t="str">
        <f t="shared" si="4"/>
        <v>2026-01-15</v>
      </c>
      <c r="F150" s="2">
        <v>2999</v>
      </c>
      <c r="G150" s="3" t="s">
        <v>69</v>
      </c>
      <c r="H150" s="3" t="s">
        <v>64</v>
      </c>
      <c r="I150" s="2">
        <v>88</v>
      </c>
      <c r="J150" s="6" t="str">
        <f>_xlfn.IFNA(VLOOKUP(C150,merchants!$A$1:$D$41,2,0),"Merchant not found")</f>
        <v>Merchant_028</v>
      </c>
      <c r="K150" s="6" t="str">
        <f>_xlfn.IFNA(VLOOKUP(C150,merchants!$A$1:$D$41,3,0),"Merchant not found")</f>
        <v>ecommerce</v>
      </c>
      <c r="L150" s="6" t="str">
        <f>_xlfn.IFNA(VLOOKUP(C150,merchants!$A$1:$D$41,4,0),"Merchant not found")</f>
        <v>South</v>
      </c>
      <c r="M150" s="9">
        <f t="shared" si="5"/>
        <v>29.990000000000002</v>
      </c>
      <c r="N150" s="6" t="str">
        <f>IF(AND(L150&lt;&gt;"East",SUMIFS(merchant_workbook_pivot_table!$D$2:$D$444,merchant_workbook_pivot_table!$C$2:$C$444,E150,merchant_workbook_pivot_table!$B$2:$B$444,J150)&gt;5000),"High-Value Merchant Day",IF(AND(L150&lt;&gt;"East",SUMIFS(merchant_workbook_pivot_table!$D$2:$D$444,merchant_workbook_pivot_table!$C$2:$C$444,E150,merchant_workbook_pivot_table!$B$2:$B$444,J150)&gt;1000),"Mid-Value Merchant Day",""))</f>
        <v xml:space="preserve">Mid-Value Merchant Day</v>
      </c>
    </row>
    <row r="151">
      <c r="A151" s="3" t="s">
        <v>218</v>
      </c>
      <c r="B151" s="2">
        <v>155</v>
      </c>
      <c r="C151" s="2">
        <v>13</v>
      </c>
      <c r="D151" s="8" t="s">
        <v>773</v>
      </c>
      <c r="E151" s="6" t="str">
        <f t="shared" si="4"/>
        <v>2026-01-09</v>
      </c>
      <c r="F151" s="2">
        <v>149</v>
      </c>
      <c r="G151" s="3" t="s">
        <v>66</v>
      </c>
      <c r="H151" s="3" t="s">
        <v>64</v>
      </c>
      <c r="I151" s="2">
        <v>49</v>
      </c>
      <c r="J151" s="6" t="str">
        <f>_xlfn.IFNA(VLOOKUP(C151,merchants!$A$1:$D$41,2,0),"Merchant not found")</f>
        <v>Merchant_013</v>
      </c>
      <c r="K151" s="6" t="str">
        <f>_xlfn.IFNA(VLOOKUP(C151,merchants!$A$1:$D$41,3,0),"Merchant not found")</f>
        <v>travel</v>
      </c>
      <c r="L151" s="6" t="str">
        <f>_xlfn.IFNA(VLOOKUP(C151,merchants!$A$1:$D$41,4,0),"Merchant not found")</f>
        <v>East</v>
      </c>
      <c r="M151" s="9">
        <f t="shared" si="5"/>
        <v>0</v>
      </c>
      <c r="N151" s="6" t="str">
        <f>IF(AND(L151&lt;&gt;"East",SUMIFS(merchant_workbook_pivot_table!$D$2:$D$444,merchant_workbook_pivot_table!$C$2:$C$444,E151,merchant_workbook_pivot_table!$B$2:$B$444,J151)&gt;5000),"High-Value Merchant Day",IF(AND(L151&lt;&gt;"East",SUMIFS(merchant_workbook_pivot_table!$D$2:$D$444,merchant_workbook_pivot_table!$C$2:$C$444,E151,merchant_workbook_pivot_table!$B$2:$B$444,J151)&gt;1000),"Mid-Value Merchant Day",""))</f>
        <v/>
      </c>
    </row>
    <row r="152">
      <c r="A152" s="3" t="s">
        <v>219</v>
      </c>
      <c r="B152" s="2">
        <v>122</v>
      </c>
      <c r="C152" s="2">
        <v>25</v>
      </c>
      <c r="D152" s="8" t="s">
        <v>774</v>
      </c>
      <c r="E152" s="6" t="str">
        <f t="shared" si="4"/>
        <v>2026-01-28</v>
      </c>
      <c r="F152" s="2">
        <v>299</v>
      </c>
      <c r="G152" s="3" t="s">
        <v>66</v>
      </c>
      <c r="H152" s="3" t="s">
        <v>64</v>
      </c>
      <c r="I152" s="2">
        <v>73</v>
      </c>
      <c r="J152" s="6" t="str">
        <f>_xlfn.IFNA(VLOOKUP(C152,merchants!$A$1:$D$41,2,0),"Merchant not found")</f>
        <v>Merchant_025</v>
      </c>
      <c r="K152" s="6" t="str">
        <f>_xlfn.IFNA(VLOOKUP(C152,merchants!$A$1:$D$41,3,0),"Merchant not found")</f>
        <v>travel</v>
      </c>
      <c r="L152" s="6" t="str">
        <f>_xlfn.IFNA(VLOOKUP(C152,merchants!$A$1:$D$41,4,0),"Merchant not found")</f>
        <v>South</v>
      </c>
      <c r="M152" s="9">
        <f t="shared" si="5"/>
        <v>0</v>
      </c>
      <c r="N152" s="6" t="str">
        <f>IF(AND(L152&lt;&gt;"East",SUMIFS(merchant_workbook_pivot_table!$D$2:$D$444,merchant_workbook_pivot_table!$C$2:$C$444,E152,merchant_workbook_pivot_table!$B$2:$B$444,J152)&gt;5000),"High-Value Merchant Day",IF(AND(L152&lt;&gt;"East",SUMIFS(merchant_workbook_pivot_table!$D$2:$D$444,merchant_workbook_pivot_table!$C$2:$C$444,E152,merchant_workbook_pivot_table!$B$2:$B$444,J152)&gt;1000),"Mid-Value Merchant Day",""))</f>
        <v/>
      </c>
    </row>
    <row r="153">
      <c r="A153" s="3" t="s">
        <v>220</v>
      </c>
      <c r="B153" s="2">
        <v>152</v>
      </c>
      <c r="C153" s="2">
        <v>2</v>
      </c>
      <c r="D153" s="8" t="s">
        <v>775</v>
      </c>
      <c r="E153" s="6" t="str">
        <f t="shared" si="4"/>
        <v>2026-01-12</v>
      </c>
      <c r="F153" s="2">
        <v>49</v>
      </c>
      <c r="G153" s="3" t="s">
        <v>66</v>
      </c>
      <c r="H153" s="3" t="s">
        <v>64</v>
      </c>
      <c r="I153" s="2">
        <v>84</v>
      </c>
      <c r="J153" s="6" t="str">
        <f>_xlfn.IFNA(VLOOKUP(C153,merchants!$A$1:$D$41,2,0),"Merchant not found")</f>
        <v>Merchant_002</v>
      </c>
      <c r="K153" s="6" t="str">
        <f>_xlfn.IFNA(VLOOKUP(C153,merchants!$A$1:$D$41,3,0),"Merchant not found")</f>
        <v>grocery</v>
      </c>
      <c r="L153" s="6" t="str">
        <f>_xlfn.IFNA(VLOOKUP(C153,merchants!$A$1:$D$41,4,0),"Merchant not found")</f>
        <v>West</v>
      </c>
      <c r="M153" s="9">
        <f t="shared" si="5"/>
        <v>0</v>
      </c>
      <c r="N153" s="6" t="str">
        <f>IF(AND(L153&lt;&gt;"East",SUMIFS(merchant_workbook_pivot_table!$D$2:$D$444,merchant_workbook_pivot_table!$C$2:$C$444,E153,merchant_workbook_pivot_table!$B$2:$B$444,J153)&gt;5000),"High-Value Merchant Day",IF(AND(L153&lt;&gt;"East",SUMIFS(merchant_workbook_pivot_table!$D$2:$D$444,merchant_workbook_pivot_table!$C$2:$C$444,E153,merchant_workbook_pivot_table!$B$2:$B$444,J153)&gt;1000),"Mid-Value Merchant Day",""))</f>
        <v/>
      </c>
    </row>
    <row r="154">
      <c r="A154" s="3" t="s">
        <v>221</v>
      </c>
      <c r="B154" s="2">
        <v>290</v>
      </c>
      <c r="C154" s="2">
        <v>4</v>
      </c>
      <c r="D154" s="8" t="s">
        <v>776</v>
      </c>
      <c r="E154" s="6" t="str">
        <f t="shared" si="4"/>
        <v>2026-01-13</v>
      </c>
      <c r="F154" s="2">
        <v>149</v>
      </c>
      <c r="G154" s="3" t="s">
        <v>66</v>
      </c>
      <c r="H154" s="3" t="s">
        <v>64</v>
      </c>
      <c r="I154" s="2">
        <v>77</v>
      </c>
      <c r="J154" s="6" t="str">
        <f>_xlfn.IFNA(VLOOKUP(C154,merchants!$A$1:$D$41,2,0),"Merchant not found")</f>
        <v>Merchant_004</v>
      </c>
      <c r="K154" s="6" t="str">
        <f>_xlfn.IFNA(VLOOKUP(C154,merchants!$A$1:$D$41,3,0),"Merchant not found")</f>
        <v>ecommerce</v>
      </c>
      <c r="L154" s="6" t="str">
        <f>_xlfn.IFNA(VLOOKUP(C154,merchants!$A$1:$D$41,4,0),"Merchant not found")</f>
        <v>East</v>
      </c>
      <c r="M154" s="9">
        <f t="shared" si="5"/>
        <v>0</v>
      </c>
      <c r="N154" s="6" t="str">
        <f>IF(AND(L154&lt;&gt;"East",SUMIFS(merchant_workbook_pivot_table!$D$2:$D$444,merchant_workbook_pivot_table!$C$2:$C$444,E154,merchant_workbook_pivot_table!$B$2:$B$444,J154)&gt;5000),"High-Value Merchant Day",IF(AND(L154&lt;&gt;"East",SUMIFS(merchant_workbook_pivot_table!$D$2:$D$444,merchant_workbook_pivot_table!$C$2:$C$444,E154,merchant_workbook_pivot_table!$B$2:$B$444,J154)&gt;1000),"Mid-Value Merchant Day",""))</f>
        <v/>
      </c>
    </row>
    <row r="155">
      <c r="A155" s="3" t="s">
        <v>222</v>
      </c>
      <c r="B155" s="2">
        <v>147</v>
      </c>
      <c r="C155" s="2">
        <v>15</v>
      </c>
      <c r="D155" s="8" t="s">
        <v>777</v>
      </c>
      <c r="E155" s="6" t="str">
        <f t="shared" si="4"/>
        <v>2026-01-24</v>
      </c>
      <c r="F155" s="2">
        <v>49</v>
      </c>
      <c r="G155" s="3" t="s">
        <v>63</v>
      </c>
      <c r="H155" s="3" t="s">
        <v>64</v>
      </c>
      <c r="I155" s="2">
        <v>77</v>
      </c>
      <c r="J155" s="6" t="str">
        <f>_xlfn.IFNA(VLOOKUP(C155,merchants!$A$1:$D$41,2,0),"Merchant not found")</f>
        <v>Merchant_015</v>
      </c>
      <c r="K155" s="6" t="str">
        <f>_xlfn.IFNA(VLOOKUP(C155,merchants!$A$1:$D$41,3,0),"Merchant not found")</f>
        <v>travel</v>
      </c>
      <c r="L155" s="6" t="str">
        <f>_xlfn.IFNA(VLOOKUP(C155,merchants!$A$1:$D$41,4,0),"Merchant not found")</f>
        <v>North</v>
      </c>
      <c r="M155" s="9">
        <f t="shared" si="5"/>
        <v>0.73499999999999999</v>
      </c>
      <c r="N155" s="6" t="str">
        <f>IF(AND(L155&lt;&gt;"East",SUMIFS(merchant_workbook_pivot_table!$D$2:$D$444,merchant_workbook_pivot_table!$C$2:$C$444,E155,merchant_workbook_pivot_table!$B$2:$B$444,J155)&gt;5000),"High-Value Merchant Day",IF(AND(L155&lt;&gt;"East",SUMIFS(merchant_workbook_pivot_table!$D$2:$D$444,merchant_workbook_pivot_table!$C$2:$C$444,E155,merchant_workbook_pivot_table!$B$2:$B$444,J155)&gt;1000),"Mid-Value Merchant Day",""))</f>
        <v/>
      </c>
    </row>
    <row r="156">
      <c r="A156" s="3" t="s">
        <v>223</v>
      </c>
      <c r="B156" s="2">
        <v>326</v>
      </c>
      <c r="C156" s="2">
        <v>13</v>
      </c>
      <c r="D156" s="8" t="s">
        <v>778</v>
      </c>
      <c r="E156" s="6" t="str">
        <f t="shared" si="4"/>
        <v>2026-01-26</v>
      </c>
      <c r="F156" s="2">
        <v>299</v>
      </c>
      <c r="G156" s="3" t="s">
        <v>69</v>
      </c>
      <c r="H156" s="3" t="s">
        <v>64</v>
      </c>
      <c r="I156" s="2">
        <v>79</v>
      </c>
      <c r="J156" s="6" t="str">
        <f>_xlfn.IFNA(VLOOKUP(C156,merchants!$A$1:$D$41,2,0),"Merchant not found")</f>
        <v>Merchant_013</v>
      </c>
      <c r="K156" s="6" t="str">
        <f>_xlfn.IFNA(VLOOKUP(C156,merchants!$A$1:$D$41,3,0),"Merchant not found")</f>
        <v>travel</v>
      </c>
      <c r="L156" s="6" t="str">
        <f>_xlfn.IFNA(VLOOKUP(C156,merchants!$A$1:$D$41,4,0),"Merchant not found")</f>
        <v>East</v>
      </c>
      <c r="M156" s="9">
        <f t="shared" si="5"/>
        <v>2.9900000000000002</v>
      </c>
      <c r="N156" s="6" t="str">
        <f>IF(AND(L156&lt;&gt;"East",SUMIFS(merchant_workbook_pivot_table!$D$2:$D$444,merchant_workbook_pivot_table!$C$2:$C$444,E156,merchant_workbook_pivot_table!$B$2:$B$444,J156)&gt;5000),"High-Value Merchant Day",IF(AND(L156&lt;&gt;"East",SUMIFS(merchant_workbook_pivot_table!$D$2:$D$444,merchant_workbook_pivot_table!$C$2:$C$444,E156,merchant_workbook_pivot_table!$B$2:$B$444,J156)&gt;1000),"Mid-Value Merchant Day",""))</f>
        <v/>
      </c>
    </row>
    <row r="157">
      <c r="A157" s="3" t="s">
        <v>224</v>
      </c>
      <c r="B157" s="2">
        <v>338</v>
      </c>
      <c r="C157" s="2">
        <v>9</v>
      </c>
      <c r="D157" s="8" t="s">
        <v>779</v>
      </c>
      <c r="E157" s="6" t="str">
        <f t="shared" si="4"/>
        <v>2026-01-09</v>
      </c>
      <c r="F157" s="2">
        <v>99</v>
      </c>
      <c r="G157" s="3" t="s">
        <v>78</v>
      </c>
      <c r="H157" s="3" t="s">
        <v>64</v>
      </c>
      <c r="I157" s="2">
        <v>80</v>
      </c>
      <c r="J157" s="6" t="str">
        <f>_xlfn.IFNA(VLOOKUP(C157,merchants!$A$1:$D$41,2,0),"Merchant not found")</f>
        <v>Merchant_009</v>
      </c>
      <c r="K157" s="6" t="str">
        <f>_xlfn.IFNA(VLOOKUP(C157,merchants!$A$1:$D$41,3,0),"Merchant not found")</f>
        <v>ecommerce</v>
      </c>
      <c r="L157" s="6" t="str">
        <f>_xlfn.IFNA(VLOOKUP(C157,merchants!$A$1:$D$41,4,0),"Merchant not found")</f>
        <v>North</v>
      </c>
      <c r="M157" s="9">
        <f t="shared" si="5"/>
        <v>1.98</v>
      </c>
      <c r="N157" s="6" t="str">
        <f>IF(AND(L157&lt;&gt;"East",SUMIFS(merchant_workbook_pivot_table!$D$2:$D$444,merchant_workbook_pivot_table!$C$2:$C$444,E157,merchant_workbook_pivot_table!$B$2:$B$444,J157)&gt;5000),"High-Value Merchant Day",IF(AND(L157&lt;&gt;"East",SUMIFS(merchant_workbook_pivot_table!$D$2:$D$444,merchant_workbook_pivot_table!$C$2:$C$444,E157,merchant_workbook_pivot_table!$B$2:$B$444,J157)&gt;1000),"Mid-Value Merchant Day",""))</f>
        <v/>
      </c>
    </row>
    <row r="158">
      <c r="A158" s="3" t="s">
        <v>225</v>
      </c>
      <c r="B158" s="2">
        <v>21</v>
      </c>
      <c r="C158" s="2">
        <v>20</v>
      </c>
      <c r="D158" s="8" t="s">
        <v>780</v>
      </c>
      <c r="E158" s="6" t="str">
        <f t="shared" si="4"/>
        <v>2026-01-04</v>
      </c>
      <c r="F158" s="2">
        <v>2999</v>
      </c>
      <c r="G158" s="3" t="s">
        <v>66</v>
      </c>
      <c r="H158" s="3" t="s">
        <v>64</v>
      </c>
      <c r="I158" s="2">
        <v>100</v>
      </c>
      <c r="J158" s="6" t="str">
        <f>_xlfn.IFNA(VLOOKUP(C158,merchants!$A$1:$D$41,2,0),"Merchant not found")</f>
        <v>Merchant_020</v>
      </c>
      <c r="K158" s="6" t="str">
        <f>_xlfn.IFNA(VLOOKUP(C158,merchants!$A$1:$D$41,3,0),"Merchant not found")</f>
        <v>food_delivery</v>
      </c>
      <c r="L158" s="6" t="str">
        <f>_xlfn.IFNA(VLOOKUP(C158,merchants!$A$1:$D$41,4,0),"Merchant not found")</f>
        <v>East</v>
      </c>
      <c r="M158" s="9">
        <f t="shared" si="5"/>
        <v>0</v>
      </c>
      <c r="N158" s="6" t="str">
        <f>IF(AND(L158&lt;&gt;"East",SUMIFS(merchant_workbook_pivot_table!$D$2:$D$444,merchant_workbook_pivot_table!$C$2:$C$444,E158,merchant_workbook_pivot_table!$B$2:$B$444,J158)&gt;5000),"High-Value Merchant Day",IF(AND(L158&lt;&gt;"East",SUMIFS(merchant_workbook_pivot_table!$D$2:$D$444,merchant_workbook_pivot_table!$C$2:$C$444,E158,merchant_workbook_pivot_table!$B$2:$B$444,J158)&gt;1000),"Mid-Value Merchant Day",""))</f>
        <v/>
      </c>
    </row>
    <row r="159">
      <c r="A159" s="3" t="s">
        <v>226</v>
      </c>
      <c r="B159" s="2">
        <v>187</v>
      </c>
      <c r="C159" s="2">
        <v>9</v>
      </c>
      <c r="D159" s="8" t="s">
        <v>781</v>
      </c>
      <c r="E159" s="6" t="str">
        <f t="shared" si="4"/>
        <v>2026-01-15</v>
      </c>
      <c r="F159" s="2">
        <v>49</v>
      </c>
      <c r="G159" s="3" t="s">
        <v>78</v>
      </c>
      <c r="H159" s="3" t="s">
        <v>79</v>
      </c>
      <c r="I159" s="2">
        <v>11</v>
      </c>
      <c r="J159" s="6" t="str">
        <f>_xlfn.IFNA(VLOOKUP(C159,merchants!$A$1:$D$41,2,0),"Merchant not found")</f>
        <v>Merchant_009</v>
      </c>
      <c r="K159" s="6" t="str">
        <f>_xlfn.IFNA(VLOOKUP(C159,merchants!$A$1:$D$41,3,0),"Merchant not found")</f>
        <v>ecommerce</v>
      </c>
      <c r="L159" s="6" t="str">
        <f>_xlfn.IFNA(VLOOKUP(C159,merchants!$A$1:$D$41,4,0),"Merchant not found")</f>
        <v>North</v>
      </c>
      <c r="M159" s="9">
        <f t="shared" si="5"/>
        <v>0.97999999999999998</v>
      </c>
      <c r="N159" s="6" t="str">
        <f>IF(AND(L159&lt;&gt;"East",SUMIFS(merchant_workbook_pivot_table!$D$2:$D$444,merchant_workbook_pivot_table!$C$2:$C$444,E159,merchant_workbook_pivot_table!$B$2:$B$444,J159)&gt;5000),"High-Value Merchant Day",IF(AND(L159&lt;&gt;"East",SUMIFS(merchant_workbook_pivot_table!$D$2:$D$444,merchant_workbook_pivot_table!$C$2:$C$444,E159,merchant_workbook_pivot_table!$B$2:$B$444,J159)&gt;1000),"Mid-Value Merchant Day",""))</f>
        <v/>
      </c>
    </row>
    <row r="160">
      <c r="A160" s="3" t="s">
        <v>227</v>
      </c>
      <c r="B160" s="2">
        <v>213</v>
      </c>
      <c r="C160" s="2">
        <v>12</v>
      </c>
      <c r="D160" s="8" t="s">
        <v>782</v>
      </c>
      <c r="E160" s="6" t="str">
        <f t="shared" si="4"/>
        <v>2026-01-30</v>
      </c>
      <c r="F160" s="2">
        <v>4999</v>
      </c>
      <c r="G160" s="3" t="s">
        <v>66</v>
      </c>
      <c r="H160" s="3" t="s">
        <v>64</v>
      </c>
      <c r="I160" s="2">
        <v>25</v>
      </c>
      <c r="J160" s="6" t="str">
        <f>_xlfn.IFNA(VLOOKUP(C160,merchants!$A$1:$D$41,2,0),"Merchant not found")</f>
        <v>Merchant_012</v>
      </c>
      <c r="K160" s="6" t="str">
        <f>_xlfn.IFNA(VLOOKUP(C160,merchants!$A$1:$D$41,3,0),"Merchant not found")</f>
        <v>ecommerce</v>
      </c>
      <c r="L160" s="6" t="str">
        <f>_xlfn.IFNA(VLOOKUP(C160,merchants!$A$1:$D$41,4,0),"Merchant not found")</f>
        <v>East</v>
      </c>
      <c r="M160" s="9">
        <f t="shared" si="5"/>
        <v>0</v>
      </c>
      <c r="N160" s="6" t="str">
        <f>IF(AND(L160&lt;&gt;"East",SUMIFS(merchant_workbook_pivot_table!$D$2:$D$444,merchant_workbook_pivot_table!$C$2:$C$444,E160,merchant_workbook_pivot_table!$B$2:$B$444,J160)&gt;5000),"High-Value Merchant Day",IF(AND(L160&lt;&gt;"East",SUMIFS(merchant_workbook_pivot_table!$D$2:$D$444,merchant_workbook_pivot_table!$C$2:$C$444,E160,merchant_workbook_pivot_table!$B$2:$B$444,J160)&gt;1000),"Mid-Value Merchant Day",""))</f>
        <v/>
      </c>
    </row>
    <row r="161">
      <c r="A161" s="3" t="s">
        <v>228</v>
      </c>
      <c r="B161" s="2">
        <v>188</v>
      </c>
      <c r="C161" s="2">
        <v>34</v>
      </c>
      <c r="D161" s="8" t="s">
        <v>783</v>
      </c>
      <c r="E161" s="6" t="str">
        <f t="shared" si="4"/>
        <v>2026-01-05</v>
      </c>
      <c r="F161" s="2">
        <v>2999</v>
      </c>
      <c r="G161" s="3" t="s">
        <v>66</v>
      </c>
      <c r="H161" s="3" t="s">
        <v>64</v>
      </c>
      <c r="I161" s="2">
        <v>64</v>
      </c>
      <c r="J161" s="6" t="str">
        <f>_xlfn.IFNA(VLOOKUP(C161,merchants!$A$1:$D$41,2,0),"Merchant not found")</f>
        <v>Merchant_034</v>
      </c>
      <c r="K161" s="6" t="str">
        <f>_xlfn.IFNA(VLOOKUP(C161,merchants!$A$1:$D$41,3,0),"Merchant not found")</f>
        <v>travel</v>
      </c>
      <c r="L161" s="6" t="str">
        <f>_xlfn.IFNA(VLOOKUP(C161,merchants!$A$1:$D$41,4,0),"Merchant not found")</f>
        <v>South</v>
      </c>
      <c r="M161" s="9">
        <f t="shared" si="5"/>
        <v>0</v>
      </c>
      <c r="N161" s="6" t="str">
        <f>IF(AND(L161&lt;&gt;"East",SUMIFS(merchant_workbook_pivot_table!$D$2:$D$444,merchant_workbook_pivot_table!$C$2:$C$444,E161,merchant_workbook_pivot_table!$B$2:$B$444,J161)&gt;5000),"High-Value Merchant Day",IF(AND(L161&lt;&gt;"East",SUMIFS(merchant_workbook_pivot_table!$D$2:$D$444,merchant_workbook_pivot_table!$C$2:$C$444,E161,merchant_workbook_pivot_table!$B$2:$B$444,J161)&gt;1000),"Mid-Value Merchant Day",""))</f>
        <v xml:space="preserve">Mid-Value Merchant Day</v>
      </c>
    </row>
    <row r="162">
      <c r="A162" s="3" t="s">
        <v>229</v>
      </c>
      <c r="B162" s="2">
        <v>85</v>
      </c>
      <c r="C162" s="2">
        <v>17</v>
      </c>
      <c r="D162" s="8" t="s">
        <v>784</v>
      </c>
      <c r="E162" s="6" t="str">
        <f t="shared" si="4"/>
        <v>2026-01-30</v>
      </c>
      <c r="F162" s="2">
        <v>499</v>
      </c>
      <c r="G162" s="3" t="s">
        <v>66</v>
      </c>
      <c r="H162" s="3" t="s">
        <v>64</v>
      </c>
      <c r="I162" s="2">
        <v>61</v>
      </c>
      <c r="J162" s="6" t="str">
        <f>_xlfn.IFNA(VLOOKUP(C162,merchants!$A$1:$D$41,2,0),"Merchant not found")</f>
        <v>Merchant_017</v>
      </c>
      <c r="K162" s="6" t="str">
        <f>_xlfn.IFNA(VLOOKUP(C162,merchants!$A$1:$D$41,3,0),"Merchant not found")</f>
        <v>grocery</v>
      </c>
      <c r="L162" s="6" t="str">
        <f>_xlfn.IFNA(VLOOKUP(C162,merchants!$A$1:$D$41,4,0),"Merchant not found")</f>
        <v>North</v>
      </c>
      <c r="M162" s="9">
        <f t="shared" si="5"/>
        <v>0</v>
      </c>
      <c r="N162" s="6" t="str">
        <f>IF(AND(L162&lt;&gt;"East",SUMIFS(merchant_workbook_pivot_table!$D$2:$D$444,merchant_workbook_pivot_table!$C$2:$C$444,E162,merchant_workbook_pivot_table!$B$2:$B$444,J162)&gt;5000),"High-Value Merchant Day",IF(AND(L162&lt;&gt;"East",SUMIFS(merchant_workbook_pivot_table!$D$2:$D$444,merchant_workbook_pivot_table!$C$2:$C$444,E162,merchant_workbook_pivot_table!$B$2:$B$444,J162)&gt;1000),"Mid-Value Merchant Day",""))</f>
        <v/>
      </c>
    </row>
    <row r="163">
      <c r="A163" s="3" t="s">
        <v>230</v>
      </c>
      <c r="B163" s="2">
        <v>174</v>
      </c>
      <c r="C163" s="2">
        <v>8</v>
      </c>
      <c r="D163" s="8" t="s">
        <v>785</v>
      </c>
      <c r="E163" s="6" t="str">
        <f t="shared" si="4"/>
        <v>2026-01-26</v>
      </c>
      <c r="F163" s="2">
        <v>299</v>
      </c>
      <c r="G163" s="3" t="s">
        <v>69</v>
      </c>
      <c r="H163" s="3" t="s">
        <v>64</v>
      </c>
      <c r="I163" s="2">
        <v>59</v>
      </c>
      <c r="J163" s="6" t="str">
        <f>_xlfn.IFNA(VLOOKUP(C163,merchants!$A$1:$D$41,2,0),"Merchant not found")</f>
        <v>Merchant_008</v>
      </c>
      <c r="K163" s="6" t="str">
        <f>_xlfn.IFNA(VLOOKUP(C163,merchants!$A$1:$D$41,3,0),"Merchant not found")</f>
        <v>food_delivery</v>
      </c>
      <c r="L163" s="6" t="str">
        <f>_xlfn.IFNA(VLOOKUP(C163,merchants!$A$1:$D$41,4,0),"Merchant not found")</f>
        <v>North</v>
      </c>
      <c r="M163" s="9">
        <f t="shared" si="5"/>
        <v>2.9900000000000002</v>
      </c>
      <c r="N163" s="6" t="str">
        <f>IF(AND(L163&lt;&gt;"East",SUMIFS(merchant_workbook_pivot_table!$D$2:$D$444,merchant_workbook_pivot_table!$C$2:$C$444,E163,merchant_workbook_pivot_table!$B$2:$B$444,J163)&gt;5000),"High-Value Merchant Day",IF(AND(L163&lt;&gt;"East",SUMIFS(merchant_workbook_pivot_table!$D$2:$D$444,merchant_workbook_pivot_table!$C$2:$C$444,E163,merchant_workbook_pivot_table!$B$2:$B$444,J163)&gt;1000),"Mid-Value Merchant Day",""))</f>
        <v/>
      </c>
    </row>
    <row r="164">
      <c r="A164" s="3" t="s">
        <v>231</v>
      </c>
      <c r="B164" s="2">
        <v>116</v>
      </c>
      <c r="C164" s="2">
        <v>26</v>
      </c>
      <c r="D164" s="8" t="s">
        <v>786</v>
      </c>
      <c r="E164" s="6" t="str">
        <f t="shared" si="4"/>
        <v>2026-01-03</v>
      </c>
      <c r="F164" s="2">
        <v>99</v>
      </c>
      <c r="G164" s="3" t="s">
        <v>69</v>
      </c>
      <c r="H164" s="3" t="s">
        <v>64</v>
      </c>
      <c r="I164" s="2">
        <v>71</v>
      </c>
      <c r="J164" s="6" t="str">
        <f>_xlfn.IFNA(VLOOKUP(C164,merchants!$A$1:$D$41,2,0),"Merchant not found")</f>
        <v>Merchant_026</v>
      </c>
      <c r="K164" s="6" t="str">
        <f>_xlfn.IFNA(VLOOKUP(C164,merchants!$A$1:$D$41,3,0),"Merchant not found")</f>
        <v>food_delivery</v>
      </c>
      <c r="L164" s="6" t="str">
        <f>_xlfn.IFNA(VLOOKUP(C164,merchants!$A$1:$D$41,4,0),"Merchant not found")</f>
        <v>East</v>
      </c>
      <c r="M164" s="9">
        <f t="shared" si="5"/>
        <v>0.98999999999999999</v>
      </c>
      <c r="N164" s="6" t="str">
        <f>IF(AND(L164&lt;&gt;"East",SUMIFS(merchant_workbook_pivot_table!$D$2:$D$444,merchant_workbook_pivot_table!$C$2:$C$444,E164,merchant_workbook_pivot_table!$B$2:$B$444,J164)&gt;5000),"High-Value Merchant Day",IF(AND(L164&lt;&gt;"East",SUMIFS(merchant_workbook_pivot_table!$D$2:$D$444,merchant_workbook_pivot_table!$C$2:$C$444,E164,merchant_workbook_pivot_table!$B$2:$B$444,J164)&gt;1000),"Mid-Value Merchant Day",""))</f>
        <v/>
      </c>
    </row>
    <row r="165">
      <c r="A165" s="3" t="s">
        <v>232</v>
      </c>
      <c r="B165" s="2">
        <v>203</v>
      </c>
      <c r="C165" s="2">
        <v>1</v>
      </c>
      <c r="D165" s="8" t="s">
        <v>787</v>
      </c>
      <c r="E165" s="6" t="str">
        <f t="shared" si="4"/>
        <v>2026-01-12</v>
      </c>
      <c r="F165" s="2">
        <v>149</v>
      </c>
      <c r="G165" s="3" t="s">
        <v>63</v>
      </c>
      <c r="H165" s="3" t="s">
        <v>64</v>
      </c>
      <c r="I165" s="2">
        <v>33</v>
      </c>
      <c r="J165" s="6" t="str">
        <f>_xlfn.IFNA(VLOOKUP(C165,merchants!$A$1:$D$41,2,0),"Merchant not found")</f>
        <v>Merchant_001</v>
      </c>
      <c r="K165" s="6" t="str">
        <f>_xlfn.IFNA(VLOOKUP(C165,merchants!$A$1:$D$41,3,0),"Merchant not found")</f>
        <v>ecommerce</v>
      </c>
      <c r="L165" s="6" t="str">
        <f>_xlfn.IFNA(VLOOKUP(C165,merchants!$A$1:$D$41,4,0),"Merchant not found")</f>
        <v>South</v>
      </c>
      <c r="M165" s="9">
        <f t="shared" si="5"/>
        <v>2.2349999999999999</v>
      </c>
      <c r="N165" s="6" t="str">
        <f>IF(AND(L165&lt;&gt;"East",SUMIFS(merchant_workbook_pivot_table!$D$2:$D$444,merchant_workbook_pivot_table!$C$2:$C$444,E165,merchant_workbook_pivot_table!$B$2:$B$444,J165)&gt;5000),"High-Value Merchant Day",IF(AND(L165&lt;&gt;"East",SUMIFS(merchant_workbook_pivot_table!$D$2:$D$444,merchant_workbook_pivot_table!$C$2:$C$444,E165,merchant_workbook_pivot_table!$B$2:$B$444,J165)&gt;1000),"Mid-Value Merchant Day",""))</f>
        <v/>
      </c>
    </row>
    <row r="166">
      <c r="A166" s="3" t="s">
        <v>233</v>
      </c>
      <c r="B166" s="2">
        <v>189</v>
      </c>
      <c r="C166" s="2">
        <v>17</v>
      </c>
      <c r="D166" s="8" t="s">
        <v>788</v>
      </c>
      <c r="E166" s="6" t="str">
        <f t="shared" si="4"/>
        <v>2026-01-18</v>
      </c>
      <c r="F166" s="2">
        <v>99</v>
      </c>
      <c r="G166" s="3" t="s">
        <v>66</v>
      </c>
      <c r="H166" s="3" t="s">
        <v>64</v>
      </c>
      <c r="I166" s="2">
        <v>74</v>
      </c>
      <c r="J166" s="6" t="str">
        <f>_xlfn.IFNA(VLOOKUP(C166,merchants!$A$1:$D$41,2,0),"Merchant not found")</f>
        <v>Merchant_017</v>
      </c>
      <c r="K166" s="6" t="str">
        <f>_xlfn.IFNA(VLOOKUP(C166,merchants!$A$1:$D$41,3,0),"Merchant not found")</f>
        <v>grocery</v>
      </c>
      <c r="L166" s="6" t="str">
        <f>_xlfn.IFNA(VLOOKUP(C166,merchants!$A$1:$D$41,4,0),"Merchant not found")</f>
        <v>North</v>
      </c>
      <c r="M166" s="9">
        <f t="shared" si="5"/>
        <v>0</v>
      </c>
      <c r="N166" s="6" t="str">
        <f>IF(AND(L166&lt;&gt;"East",SUMIFS(merchant_workbook_pivot_table!$D$2:$D$444,merchant_workbook_pivot_table!$C$2:$C$444,E166,merchant_workbook_pivot_table!$B$2:$B$444,J166)&gt;5000),"High-Value Merchant Day",IF(AND(L166&lt;&gt;"East",SUMIFS(merchant_workbook_pivot_table!$D$2:$D$444,merchant_workbook_pivot_table!$C$2:$C$444,E166,merchant_workbook_pivot_table!$B$2:$B$444,J166)&gt;1000),"Mid-Value Merchant Day",""))</f>
        <v/>
      </c>
    </row>
    <row r="167">
      <c r="A167" s="3" t="s">
        <v>234</v>
      </c>
      <c r="B167" s="2">
        <v>56</v>
      </c>
      <c r="C167" s="2">
        <v>15</v>
      </c>
      <c r="D167" s="8" t="s">
        <v>789</v>
      </c>
      <c r="E167" s="6" t="str">
        <f t="shared" si="4"/>
        <v>2026-01-13</v>
      </c>
      <c r="F167" s="2">
        <v>299</v>
      </c>
      <c r="G167" s="3" t="s">
        <v>66</v>
      </c>
      <c r="H167" s="3" t="s">
        <v>64</v>
      </c>
      <c r="I167" s="2">
        <v>60</v>
      </c>
      <c r="J167" s="6" t="str">
        <f>_xlfn.IFNA(VLOOKUP(C167,merchants!$A$1:$D$41,2,0),"Merchant not found")</f>
        <v>Merchant_015</v>
      </c>
      <c r="K167" s="6" t="str">
        <f>_xlfn.IFNA(VLOOKUP(C167,merchants!$A$1:$D$41,3,0),"Merchant not found")</f>
        <v>travel</v>
      </c>
      <c r="L167" s="6" t="str">
        <f>_xlfn.IFNA(VLOOKUP(C167,merchants!$A$1:$D$41,4,0),"Merchant not found")</f>
        <v>North</v>
      </c>
      <c r="M167" s="9">
        <f t="shared" si="5"/>
        <v>0</v>
      </c>
      <c r="N167" s="6" t="str">
        <f>IF(AND(L167&lt;&gt;"East",SUMIFS(merchant_workbook_pivot_table!$D$2:$D$444,merchant_workbook_pivot_table!$C$2:$C$444,E167,merchant_workbook_pivot_table!$B$2:$B$444,J167)&gt;5000),"High-Value Merchant Day",IF(AND(L167&lt;&gt;"East",SUMIFS(merchant_workbook_pivot_table!$D$2:$D$444,merchant_workbook_pivot_table!$C$2:$C$444,E167,merchant_workbook_pivot_table!$B$2:$B$444,J167)&gt;1000),"Mid-Value Merchant Day",""))</f>
        <v/>
      </c>
    </row>
    <row r="168">
      <c r="A168" s="3" t="s">
        <v>235</v>
      </c>
      <c r="B168" s="2">
        <v>288</v>
      </c>
      <c r="C168" s="2">
        <v>21</v>
      </c>
      <c r="D168" s="8" t="s">
        <v>790</v>
      </c>
      <c r="E168" s="6" t="str">
        <f t="shared" si="4"/>
        <v>2026-01-01</v>
      </c>
      <c r="F168" s="2">
        <v>4999</v>
      </c>
      <c r="G168" s="3" t="s">
        <v>63</v>
      </c>
      <c r="H168" s="3" t="s">
        <v>79</v>
      </c>
      <c r="I168" s="2">
        <v>78</v>
      </c>
      <c r="J168" s="6" t="str">
        <f>_xlfn.IFNA(VLOOKUP(C168,merchants!$A$1:$D$41,2,0),"Merchant not found")</f>
        <v>Merchant_021</v>
      </c>
      <c r="K168" s="6" t="str">
        <f>_xlfn.IFNA(VLOOKUP(C168,merchants!$A$1:$D$41,3,0),"Merchant not found")</f>
        <v>food_delivery</v>
      </c>
      <c r="L168" s="6" t="str">
        <f>_xlfn.IFNA(VLOOKUP(C168,merchants!$A$1:$D$41,4,0),"Merchant not found")</f>
        <v>East</v>
      </c>
      <c r="M168" s="9">
        <f t="shared" si="5"/>
        <v>74.984999999999999</v>
      </c>
      <c r="N168" s="6" t="str">
        <f>IF(AND(L168&lt;&gt;"East",SUMIFS(merchant_workbook_pivot_table!$D$2:$D$444,merchant_workbook_pivot_table!$C$2:$C$444,E168,merchant_workbook_pivot_table!$B$2:$B$444,J168)&gt;5000),"High-Value Merchant Day",IF(AND(L168&lt;&gt;"East",SUMIFS(merchant_workbook_pivot_table!$D$2:$D$444,merchant_workbook_pivot_table!$C$2:$C$444,E168,merchant_workbook_pivot_table!$B$2:$B$444,J168)&gt;1000),"Mid-Value Merchant Day",""))</f>
        <v/>
      </c>
    </row>
    <row r="169">
      <c r="A169" s="3" t="s">
        <v>236</v>
      </c>
      <c r="B169" s="2">
        <v>326</v>
      </c>
      <c r="C169" s="2">
        <v>30</v>
      </c>
      <c r="D169" s="8" t="s">
        <v>677</v>
      </c>
      <c r="E169" s="6" t="str">
        <f t="shared" si="4"/>
        <v>2026-01-08</v>
      </c>
      <c r="F169" s="2">
        <v>99</v>
      </c>
      <c r="G169" s="3" t="s">
        <v>78</v>
      </c>
      <c r="H169" s="3" t="s">
        <v>64</v>
      </c>
      <c r="I169" s="2">
        <v>89</v>
      </c>
      <c r="J169" s="6" t="str">
        <f>_xlfn.IFNA(VLOOKUP(C169,merchants!$A$1:$D$41,2,0),"Merchant not found")</f>
        <v>Merchant_030</v>
      </c>
      <c r="K169" s="6" t="str">
        <f>_xlfn.IFNA(VLOOKUP(C169,merchants!$A$1:$D$41,3,0),"Merchant not found")</f>
        <v>travel</v>
      </c>
      <c r="L169" s="6" t="str">
        <f>_xlfn.IFNA(VLOOKUP(C169,merchants!$A$1:$D$41,4,0),"Merchant not found")</f>
        <v>West</v>
      </c>
      <c r="M169" s="9">
        <f t="shared" si="5"/>
        <v>1.98</v>
      </c>
      <c r="N169" s="6" t="str">
        <f>IF(AND(L169&lt;&gt;"East",SUMIFS(merchant_workbook_pivot_table!$D$2:$D$444,merchant_workbook_pivot_table!$C$2:$C$444,E169,merchant_workbook_pivot_table!$B$2:$B$444,J169)&gt;5000),"High-Value Merchant Day",IF(AND(L169&lt;&gt;"East",SUMIFS(merchant_workbook_pivot_table!$D$2:$D$444,merchant_workbook_pivot_table!$C$2:$C$444,E169,merchant_workbook_pivot_table!$B$2:$B$444,J169)&gt;1000),"Mid-Value Merchant Day",""))</f>
        <v xml:space="preserve">Mid-Value Merchant Day</v>
      </c>
    </row>
    <row r="170">
      <c r="A170" s="3" t="s">
        <v>237</v>
      </c>
      <c r="B170" s="2">
        <v>60</v>
      </c>
      <c r="C170" s="2">
        <v>9</v>
      </c>
      <c r="D170" s="8" t="s">
        <v>791</v>
      </c>
      <c r="E170" s="6" t="str">
        <f t="shared" si="4"/>
        <v>2026-01-10</v>
      </c>
      <c r="F170" s="2">
        <v>49</v>
      </c>
      <c r="G170" s="3" t="s">
        <v>69</v>
      </c>
      <c r="H170" s="3" t="s">
        <v>64</v>
      </c>
      <c r="I170" s="2">
        <v>5</v>
      </c>
      <c r="J170" s="6" t="str">
        <f>_xlfn.IFNA(VLOOKUP(C170,merchants!$A$1:$D$41,2,0),"Merchant not found")</f>
        <v>Merchant_009</v>
      </c>
      <c r="K170" s="6" t="str">
        <f>_xlfn.IFNA(VLOOKUP(C170,merchants!$A$1:$D$41,3,0),"Merchant not found")</f>
        <v>ecommerce</v>
      </c>
      <c r="L170" s="6" t="str">
        <f>_xlfn.IFNA(VLOOKUP(C170,merchants!$A$1:$D$41,4,0),"Merchant not found")</f>
        <v>North</v>
      </c>
      <c r="M170" s="9">
        <f t="shared" si="5"/>
        <v>0.48999999999999999</v>
      </c>
      <c r="N170" s="6" t="str">
        <f>IF(AND(L170&lt;&gt;"East",SUMIFS(merchant_workbook_pivot_table!$D$2:$D$444,merchant_workbook_pivot_table!$C$2:$C$444,E170,merchant_workbook_pivot_table!$B$2:$B$444,J170)&gt;5000),"High-Value Merchant Day",IF(AND(L170&lt;&gt;"East",SUMIFS(merchant_workbook_pivot_table!$D$2:$D$444,merchant_workbook_pivot_table!$C$2:$C$444,E170,merchant_workbook_pivot_table!$B$2:$B$444,J170)&gt;1000),"Mid-Value Merchant Day",""))</f>
        <v/>
      </c>
    </row>
    <row r="171">
      <c r="A171" s="3" t="s">
        <v>238</v>
      </c>
      <c r="B171" s="2">
        <v>60</v>
      </c>
      <c r="C171" s="2">
        <v>7</v>
      </c>
      <c r="D171" s="8" t="s">
        <v>792</v>
      </c>
      <c r="E171" s="6" t="str">
        <f t="shared" si="4"/>
        <v>2026-01-02</v>
      </c>
      <c r="F171" s="2">
        <v>2999</v>
      </c>
      <c r="G171" s="3" t="s">
        <v>63</v>
      </c>
      <c r="H171" s="3" t="s">
        <v>64</v>
      </c>
      <c r="I171" s="2">
        <v>30</v>
      </c>
      <c r="J171" s="6" t="str">
        <f>_xlfn.IFNA(VLOOKUP(C171,merchants!$A$1:$D$41,2,0),"Merchant not found")</f>
        <v>Merchant_007</v>
      </c>
      <c r="K171" s="6" t="str">
        <f>_xlfn.IFNA(VLOOKUP(C171,merchants!$A$1:$D$41,3,0),"Merchant not found")</f>
        <v>food_delivery</v>
      </c>
      <c r="L171" s="6" t="str">
        <f>_xlfn.IFNA(VLOOKUP(C171,merchants!$A$1:$D$41,4,0),"Merchant not found")</f>
        <v>East</v>
      </c>
      <c r="M171" s="9">
        <f t="shared" si="5"/>
        <v>44.984999999999999</v>
      </c>
      <c r="N171" s="6" t="str">
        <f>IF(AND(L171&lt;&gt;"East",SUMIFS(merchant_workbook_pivot_table!$D$2:$D$444,merchant_workbook_pivot_table!$C$2:$C$444,E171,merchant_workbook_pivot_table!$B$2:$B$444,J171)&gt;5000),"High-Value Merchant Day",IF(AND(L171&lt;&gt;"East",SUMIFS(merchant_workbook_pivot_table!$D$2:$D$444,merchant_workbook_pivot_table!$C$2:$C$444,E171,merchant_workbook_pivot_table!$B$2:$B$444,J171)&gt;1000),"Mid-Value Merchant Day",""))</f>
        <v/>
      </c>
    </row>
    <row r="172">
      <c r="A172" s="3" t="s">
        <v>239</v>
      </c>
      <c r="B172" s="2">
        <v>199</v>
      </c>
      <c r="C172" s="2">
        <v>30</v>
      </c>
      <c r="D172" s="8" t="s">
        <v>793</v>
      </c>
      <c r="E172" s="6" t="str">
        <f t="shared" si="4"/>
        <v>2026-01-29</v>
      </c>
      <c r="F172" s="2">
        <v>149</v>
      </c>
      <c r="G172" s="3" t="s">
        <v>69</v>
      </c>
      <c r="H172" s="3" t="s">
        <v>64</v>
      </c>
      <c r="I172" s="2">
        <v>47</v>
      </c>
      <c r="J172" s="6" t="str">
        <f>_xlfn.IFNA(VLOOKUP(C172,merchants!$A$1:$D$41,2,0),"Merchant not found")</f>
        <v>Merchant_030</v>
      </c>
      <c r="K172" s="6" t="str">
        <f>_xlfn.IFNA(VLOOKUP(C172,merchants!$A$1:$D$41,3,0),"Merchant not found")</f>
        <v>travel</v>
      </c>
      <c r="L172" s="6" t="str">
        <f>_xlfn.IFNA(VLOOKUP(C172,merchants!$A$1:$D$41,4,0),"Merchant not found")</f>
        <v>West</v>
      </c>
      <c r="M172" s="9">
        <f t="shared" si="5"/>
        <v>1.49</v>
      </c>
      <c r="N172" s="6" t="str">
        <f>IF(AND(L172&lt;&gt;"East",SUMIFS(merchant_workbook_pivot_table!$D$2:$D$444,merchant_workbook_pivot_table!$C$2:$C$444,E172,merchant_workbook_pivot_table!$B$2:$B$444,J172)&gt;5000),"High-Value Merchant Day",IF(AND(L172&lt;&gt;"East",SUMIFS(merchant_workbook_pivot_table!$D$2:$D$444,merchant_workbook_pivot_table!$C$2:$C$444,E172,merchant_workbook_pivot_table!$B$2:$B$444,J172)&gt;1000),"Mid-Value Merchant Day",""))</f>
        <v/>
      </c>
    </row>
    <row r="173">
      <c r="A173" s="3" t="s">
        <v>240</v>
      </c>
      <c r="B173" s="2">
        <v>277</v>
      </c>
      <c r="C173" s="2">
        <v>27</v>
      </c>
      <c r="D173" s="8" t="s">
        <v>794</v>
      </c>
      <c r="E173" s="6" t="str">
        <f t="shared" si="4"/>
        <v>2026-01-22</v>
      </c>
      <c r="F173" s="2">
        <v>49</v>
      </c>
      <c r="G173" s="3" t="s">
        <v>66</v>
      </c>
      <c r="H173" s="3" t="s">
        <v>64</v>
      </c>
      <c r="I173" s="2">
        <v>75</v>
      </c>
      <c r="J173" s="6" t="str">
        <f>_xlfn.IFNA(VLOOKUP(C173,merchants!$A$1:$D$41,2,0),"Merchant not found")</f>
        <v>Merchant_027</v>
      </c>
      <c r="K173" s="6" t="str">
        <f>_xlfn.IFNA(VLOOKUP(C173,merchants!$A$1:$D$41,3,0),"Merchant not found")</f>
        <v>ecommerce</v>
      </c>
      <c r="L173" s="6" t="str">
        <f>_xlfn.IFNA(VLOOKUP(C173,merchants!$A$1:$D$41,4,0),"Merchant not found")</f>
        <v>North</v>
      </c>
      <c r="M173" s="9">
        <f t="shared" si="5"/>
        <v>0</v>
      </c>
      <c r="N173" s="6" t="str">
        <f>IF(AND(L173&lt;&gt;"East",SUMIFS(merchant_workbook_pivot_table!$D$2:$D$444,merchant_workbook_pivot_table!$C$2:$C$444,E173,merchant_workbook_pivot_table!$B$2:$B$444,J173)&gt;5000),"High-Value Merchant Day",IF(AND(L173&lt;&gt;"East",SUMIFS(merchant_workbook_pivot_table!$D$2:$D$444,merchant_workbook_pivot_table!$C$2:$C$444,E173,merchant_workbook_pivot_table!$B$2:$B$444,J173)&gt;1000),"Mid-Value Merchant Day",""))</f>
        <v/>
      </c>
    </row>
    <row r="174">
      <c r="A174" s="3" t="s">
        <v>241</v>
      </c>
      <c r="B174" s="2">
        <v>213</v>
      </c>
      <c r="C174" s="2">
        <v>7</v>
      </c>
      <c r="D174" s="8" t="s">
        <v>795</v>
      </c>
      <c r="E174" s="6" t="str">
        <f t="shared" si="4"/>
        <v>2026-01-24</v>
      </c>
      <c r="F174" s="2">
        <v>799</v>
      </c>
      <c r="G174" s="3" t="s">
        <v>69</v>
      </c>
      <c r="H174" s="3" t="s">
        <v>64</v>
      </c>
      <c r="I174" s="2">
        <v>62</v>
      </c>
      <c r="J174" s="6" t="str">
        <f>_xlfn.IFNA(VLOOKUP(C174,merchants!$A$1:$D$41,2,0),"Merchant not found")</f>
        <v>Merchant_007</v>
      </c>
      <c r="K174" s="6" t="str">
        <f>_xlfn.IFNA(VLOOKUP(C174,merchants!$A$1:$D$41,3,0),"Merchant not found")</f>
        <v>food_delivery</v>
      </c>
      <c r="L174" s="6" t="str">
        <f>_xlfn.IFNA(VLOOKUP(C174,merchants!$A$1:$D$41,4,0),"Merchant not found")</f>
        <v>East</v>
      </c>
      <c r="M174" s="9">
        <f t="shared" si="5"/>
        <v>7.9900000000000002</v>
      </c>
      <c r="N174" s="6" t="str">
        <f>IF(AND(L174&lt;&gt;"East",SUMIFS(merchant_workbook_pivot_table!$D$2:$D$444,merchant_workbook_pivot_table!$C$2:$C$444,E174,merchant_workbook_pivot_table!$B$2:$B$444,J174)&gt;5000),"High-Value Merchant Day",IF(AND(L174&lt;&gt;"East",SUMIFS(merchant_workbook_pivot_table!$D$2:$D$444,merchant_workbook_pivot_table!$C$2:$C$444,E174,merchant_workbook_pivot_table!$B$2:$B$444,J174)&gt;1000),"Mid-Value Merchant Day",""))</f>
        <v/>
      </c>
    </row>
    <row r="175">
      <c r="A175" s="3" t="s">
        <v>242</v>
      </c>
      <c r="B175" s="2">
        <v>17</v>
      </c>
      <c r="C175" s="2">
        <v>24</v>
      </c>
      <c r="D175" s="8" t="s">
        <v>796</v>
      </c>
      <c r="E175" s="6" t="str">
        <f t="shared" si="4"/>
        <v>2026-01-20</v>
      </c>
      <c r="F175" s="2">
        <v>299</v>
      </c>
      <c r="G175" s="3" t="s">
        <v>66</v>
      </c>
      <c r="H175" s="3" t="s">
        <v>64</v>
      </c>
      <c r="I175" s="2">
        <v>27</v>
      </c>
      <c r="J175" s="6" t="str">
        <f>_xlfn.IFNA(VLOOKUP(C175,merchants!$A$1:$D$41,2,0),"Merchant not found")</f>
        <v>Merchant_024</v>
      </c>
      <c r="K175" s="6" t="str">
        <f>_xlfn.IFNA(VLOOKUP(C175,merchants!$A$1:$D$41,3,0),"Merchant not found")</f>
        <v>grocery</v>
      </c>
      <c r="L175" s="6" t="str">
        <f>_xlfn.IFNA(VLOOKUP(C175,merchants!$A$1:$D$41,4,0),"Merchant not found")</f>
        <v>North</v>
      </c>
      <c r="M175" s="9">
        <f t="shared" si="5"/>
        <v>0</v>
      </c>
      <c r="N175" s="6" t="str">
        <f>IF(AND(L175&lt;&gt;"East",SUMIFS(merchant_workbook_pivot_table!$D$2:$D$444,merchant_workbook_pivot_table!$C$2:$C$444,E175,merchant_workbook_pivot_table!$B$2:$B$444,J175)&gt;5000),"High-Value Merchant Day",IF(AND(L175&lt;&gt;"East",SUMIFS(merchant_workbook_pivot_table!$D$2:$D$444,merchant_workbook_pivot_table!$C$2:$C$444,E175,merchant_workbook_pivot_table!$B$2:$B$444,J175)&gt;1000),"Mid-Value Merchant Day",""))</f>
        <v/>
      </c>
    </row>
    <row r="176">
      <c r="A176" s="3" t="s">
        <v>243</v>
      </c>
      <c r="B176" s="2">
        <v>186</v>
      </c>
      <c r="C176" s="2">
        <v>7</v>
      </c>
      <c r="D176" s="8" t="s">
        <v>797</v>
      </c>
      <c r="E176" s="6" t="str">
        <f t="shared" si="4"/>
        <v>2026-01-15</v>
      </c>
      <c r="F176" s="2">
        <v>1499</v>
      </c>
      <c r="G176" s="3" t="s">
        <v>78</v>
      </c>
      <c r="H176" s="3" t="s">
        <v>79</v>
      </c>
      <c r="I176" s="2">
        <v>87</v>
      </c>
      <c r="J176" s="6" t="str">
        <f>_xlfn.IFNA(VLOOKUP(C176,merchants!$A$1:$D$41,2,0),"Merchant not found")</f>
        <v>Merchant_007</v>
      </c>
      <c r="K176" s="6" t="str">
        <f>_xlfn.IFNA(VLOOKUP(C176,merchants!$A$1:$D$41,3,0),"Merchant not found")</f>
        <v>food_delivery</v>
      </c>
      <c r="L176" s="6" t="str">
        <f>_xlfn.IFNA(VLOOKUP(C176,merchants!$A$1:$D$41,4,0),"Merchant not found")</f>
        <v>East</v>
      </c>
      <c r="M176" s="9">
        <f t="shared" si="5"/>
        <v>29.98</v>
      </c>
      <c r="N176" s="6" t="str">
        <f>IF(AND(L176&lt;&gt;"East",SUMIFS(merchant_workbook_pivot_table!$D$2:$D$444,merchant_workbook_pivot_table!$C$2:$C$444,E176,merchant_workbook_pivot_table!$B$2:$B$444,J176)&gt;5000),"High-Value Merchant Day",IF(AND(L176&lt;&gt;"East",SUMIFS(merchant_workbook_pivot_table!$D$2:$D$444,merchant_workbook_pivot_table!$C$2:$C$444,E176,merchant_workbook_pivot_table!$B$2:$B$444,J176)&gt;1000),"Mid-Value Merchant Day",""))</f>
        <v/>
      </c>
    </row>
    <row r="177">
      <c r="A177" s="3" t="s">
        <v>244</v>
      </c>
      <c r="B177" s="2">
        <v>331</v>
      </c>
      <c r="C177" s="2">
        <v>23</v>
      </c>
      <c r="D177" s="8" t="s">
        <v>798</v>
      </c>
      <c r="E177" s="6" t="str">
        <f t="shared" si="4"/>
        <v>2026-01-12</v>
      </c>
      <c r="F177" s="2">
        <v>149</v>
      </c>
      <c r="G177" s="3" t="s">
        <v>66</v>
      </c>
      <c r="H177" s="3" t="s">
        <v>64</v>
      </c>
      <c r="I177" s="2">
        <v>7</v>
      </c>
      <c r="J177" s="6" t="str">
        <f>_xlfn.IFNA(VLOOKUP(C177,merchants!$A$1:$D$41,2,0),"Merchant not found")</f>
        <v>Merchant_023</v>
      </c>
      <c r="K177" s="6" t="str">
        <f>_xlfn.IFNA(VLOOKUP(C177,merchants!$A$1:$D$41,3,0),"Merchant not found")</f>
        <v>travel</v>
      </c>
      <c r="L177" s="6" t="str">
        <f>_xlfn.IFNA(VLOOKUP(C177,merchants!$A$1:$D$41,4,0),"Merchant not found")</f>
        <v>North</v>
      </c>
      <c r="M177" s="9">
        <f t="shared" si="5"/>
        <v>0</v>
      </c>
      <c r="N177" s="6" t="str">
        <f>IF(AND(L177&lt;&gt;"East",SUMIFS(merchant_workbook_pivot_table!$D$2:$D$444,merchant_workbook_pivot_table!$C$2:$C$444,E177,merchant_workbook_pivot_table!$B$2:$B$444,J177)&gt;5000),"High-Value Merchant Day",IF(AND(L177&lt;&gt;"East",SUMIFS(merchant_workbook_pivot_table!$D$2:$D$444,merchant_workbook_pivot_table!$C$2:$C$444,E177,merchant_workbook_pivot_table!$B$2:$B$444,J177)&gt;1000),"Mid-Value Merchant Day",""))</f>
        <v/>
      </c>
    </row>
    <row r="178">
      <c r="A178" s="3" t="s">
        <v>245</v>
      </c>
      <c r="B178" s="2">
        <v>63</v>
      </c>
      <c r="C178" s="2">
        <v>30</v>
      </c>
      <c r="D178" s="8" t="s">
        <v>799</v>
      </c>
      <c r="E178" s="6" t="str">
        <f t="shared" si="4"/>
        <v>2026-01-13</v>
      </c>
      <c r="F178" s="2">
        <v>1499</v>
      </c>
      <c r="G178" s="3" t="s">
        <v>78</v>
      </c>
      <c r="H178" s="3" t="s">
        <v>64</v>
      </c>
      <c r="I178" s="2">
        <v>11</v>
      </c>
      <c r="J178" s="6" t="str">
        <f>_xlfn.IFNA(VLOOKUP(C178,merchants!$A$1:$D$41,2,0),"Merchant not found")</f>
        <v>Merchant_030</v>
      </c>
      <c r="K178" s="6" t="str">
        <f>_xlfn.IFNA(VLOOKUP(C178,merchants!$A$1:$D$41,3,0),"Merchant not found")</f>
        <v>travel</v>
      </c>
      <c r="L178" s="6" t="str">
        <f>_xlfn.IFNA(VLOOKUP(C178,merchants!$A$1:$D$41,4,0),"Merchant not found")</f>
        <v>West</v>
      </c>
      <c r="M178" s="9">
        <f t="shared" si="5"/>
        <v>29.98</v>
      </c>
      <c r="N178" s="6" t="str">
        <f>IF(AND(L178&lt;&gt;"East",SUMIFS(merchant_workbook_pivot_table!$D$2:$D$444,merchant_workbook_pivot_table!$C$2:$C$444,E178,merchant_workbook_pivot_table!$B$2:$B$444,J178)&gt;5000),"High-Value Merchant Day",IF(AND(L178&lt;&gt;"East",SUMIFS(merchant_workbook_pivot_table!$D$2:$D$444,merchant_workbook_pivot_table!$C$2:$C$444,E178,merchant_workbook_pivot_table!$B$2:$B$444,J178)&gt;1000),"Mid-Value Merchant Day",""))</f>
        <v xml:space="preserve">Mid-Value Merchant Day</v>
      </c>
    </row>
    <row r="179">
      <c r="A179" s="3" t="s">
        <v>246</v>
      </c>
      <c r="B179" s="2">
        <v>328</v>
      </c>
      <c r="C179" s="2">
        <v>39</v>
      </c>
      <c r="D179" s="8" t="s">
        <v>800</v>
      </c>
      <c r="E179" s="6" t="str">
        <f t="shared" si="4"/>
        <v>2026-01-22</v>
      </c>
      <c r="F179" s="2">
        <v>4999</v>
      </c>
      <c r="G179" s="3" t="s">
        <v>63</v>
      </c>
      <c r="H179" s="3" t="s">
        <v>92</v>
      </c>
      <c r="I179" s="2">
        <v>2</v>
      </c>
      <c r="J179" s="6" t="str">
        <f>_xlfn.IFNA(VLOOKUP(C179,merchants!$A$1:$D$41,2,0),"Merchant not found")</f>
        <v>Merchant_039</v>
      </c>
      <c r="K179" s="6" t="str">
        <f>_xlfn.IFNA(VLOOKUP(C179,merchants!$A$1:$D$41,3,0),"Merchant not found")</f>
        <v>entertainment</v>
      </c>
      <c r="L179" s="6" t="str">
        <f>_xlfn.IFNA(VLOOKUP(C179,merchants!$A$1:$D$41,4,0),"Merchant not found")</f>
        <v>North</v>
      </c>
      <c r="M179" s="9">
        <f t="shared" si="5"/>
        <v>74.984999999999999</v>
      </c>
      <c r="N179" s="6" t="str">
        <f>IF(AND(L179&lt;&gt;"East",SUMIFS(merchant_workbook_pivot_table!$D$2:$D$444,merchant_workbook_pivot_table!$C$2:$C$444,E179,merchant_workbook_pivot_table!$B$2:$B$444,J179)&gt;5000),"High-Value Merchant Day",IF(AND(L179&lt;&gt;"East",SUMIFS(merchant_workbook_pivot_table!$D$2:$D$444,merchant_workbook_pivot_table!$C$2:$C$444,E179,merchant_workbook_pivot_table!$B$2:$B$444,J179)&gt;1000),"Mid-Value Merchant Day",""))</f>
        <v xml:space="preserve">High-Value Merchant Day</v>
      </c>
    </row>
    <row r="180">
      <c r="A180" s="3" t="s">
        <v>247</v>
      </c>
      <c r="B180" s="2">
        <v>65</v>
      </c>
      <c r="C180" s="2">
        <v>37</v>
      </c>
      <c r="D180" s="8" t="s">
        <v>801</v>
      </c>
      <c r="E180" s="6" t="str">
        <f t="shared" si="4"/>
        <v>2026-01-02</v>
      </c>
      <c r="F180" s="2">
        <v>2999</v>
      </c>
      <c r="G180" s="3" t="s">
        <v>78</v>
      </c>
      <c r="H180" s="3" t="s">
        <v>64</v>
      </c>
      <c r="I180" s="2">
        <v>26</v>
      </c>
      <c r="J180" s="6" t="str">
        <f>_xlfn.IFNA(VLOOKUP(C180,merchants!$A$1:$D$41,2,0),"Merchant not found")</f>
        <v>Merchant_037</v>
      </c>
      <c r="K180" s="6" t="str">
        <f>_xlfn.IFNA(VLOOKUP(C180,merchants!$A$1:$D$41,3,0),"Merchant not found")</f>
        <v>entertainment</v>
      </c>
      <c r="L180" s="6" t="str">
        <f>_xlfn.IFNA(VLOOKUP(C180,merchants!$A$1:$D$41,4,0),"Merchant not found")</f>
        <v>South</v>
      </c>
      <c r="M180" s="9">
        <f t="shared" si="5"/>
        <v>59.980000000000004</v>
      </c>
      <c r="N180" s="6" t="str">
        <f>IF(AND(L180&lt;&gt;"East",SUMIFS(merchant_workbook_pivot_table!$D$2:$D$444,merchant_workbook_pivot_table!$C$2:$C$444,E180,merchant_workbook_pivot_table!$B$2:$B$444,J180)&gt;5000),"High-Value Merchant Day",IF(AND(L180&lt;&gt;"East",SUMIFS(merchant_workbook_pivot_table!$D$2:$D$444,merchant_workbook_pivot_table!$C$2:$C$444,E180,merchant_workbook_pivot_table!$B$2:$B$444,J180)&gt;1000),"Mid-Value Merchant Day",""))</f>
        <v xml:space="preserve">Mid-Value Merchant Day</v>
      </c>
    </row>
    <row r="181">
      <c r="A181" s="3" t="s">
        <v>248</v>
      </c>
      <c r="B181" s="2">
        <v>301</v>
      </c>
      <c r="C181" s="2">
        <v>14</v>
      </c>
      <c r="D181" s="8" t="s">
        <v>802</v>
      </c>
      <c r="E181" s="6" t="str">
        <f t="shared" si="4"/>
        <v>2026-01-03</v>
      </c>
      <c r="F181" s="2">
        <v>149</v>
      </c>
      <c r="G181" s="3" t="s">
        <v>66</v>
      </c>
      <c r="H181" s="3" t="s">
        <v>64</v>
      </c>
      <c r="I181" s="2">
        <v>29</v>
      </c>
      <c r="J181" s="6" t="str">
        <f>_xlfn.IFNA(VLOOKUP(C181,merchants!$A$1:$D$41,2,0),"Merchant not found")</f>
        <v>Merchant_014</v>
      </c>
      <c r="K181" s="6" t="str">
        <f>_xlfn.IFNA(VLOOKUP(C181,merchants!$A$1:$D$41,3,0),"Merchant not found")</f>
        <v>grocery</v>
      </c>
      <c r="L181" s="6" t="str">
        <f>_xlfn.IFNA(VLOOKUP(C181,merchants!$A$1:$D$41,4,0),"Merchant not found")</f>
        <v>East</v>
      </c>
      <c r="M181" s="9">
        <f t="shared" si="5"/>
        <v>0</v>
      </c>
      <c r="N181" s="6" t="str">
        <f>IF(AND(L181&lt;&gt;"East",SUMIFS(merchant_workbook_pivot_table!$D$2:$D$444,merchant_workbook_pivot_table!$C$2:$C$444,E181,merchant_workbook_pivot_table!$B$2:$B$444,J181)&gt;5000),"High-Value Merchant Day",IF(AND(L181&lt;&gt;"East",SUMIFS(merchant_workbook_pivot_table!$D$2:$D$444,merchant_workbook_pivot_table!$C$2:$C$444,E181,merchant_workbook_pivot_table!$B$2:$B$444,J181)&gt;1000),"Mid-Value Merchant Day",""))</f>
        <v/>
      </c>
    </row>
    <row r="182">
      <c r="A182" s="3" t="s">
        <v>249</v>
      </c>
      <c r="B182" s="2">
        <v>306</v>
      </c>
      <c r="C182" s="2">
        <v>1</v>
      </c>
      <c r="D182" s="8" t="s">
        <v>803</v>
      </c>
      <c r="E182" s="6" t="str">
        <f t="shared" si="4"/>
        <v>2026-01-11</v>
      </c>
      <c r="F182" s="2">
        <v>299</v>
      </c>
      <c r="G182" s="3" t="s">
        <v>66</v>
      </c>
      <c r="H182" s="3" t="s">
        <v>79</v>
      </c>
      <c r="I182" s="2">
        <v>35</v>
      </c>
      <c r="J182" s="6" t="str">
        <f>_xlfn.IFNA(VLOOKUP(C182,merchants!$A$1:$D$41,2,0),"Merchant not found")</f>
        <v>Merchant_001</v>
      </c>
      <c r="K182" s="6" t="str">
        <f>_xlfn.IFNA(VLOOKUP(C182,merchants!$A$1:$D$41,3,0),"Merchant not found")</f>
        <v>ecommerce</v>
      </c>
      <c r="L182" s="6" t="str">
        <f>_xlfn.IFNA(VLOOKUP(C182,merchants!$A$1:$D$41,4,0),"Merchant not found")</f>
        <v>South</v>
      </c>
      <c r="M182" s="9">
        <f t="shared" si="5"/>
        <v>0</v>
      </c>
      <c r="N182" s="6" t="str">
        <f>IF(AND(L182&lt;&gt;"East",SUMIFS(merchant_workbook_pivot_table!$D$2:$D$444,merchant_workbook_pivot_table!$C$2:$C$444,E182,merchant_workbook_pivot_table!$B$2:$B$444,J182)&gt;5000),"High-Value Merchant Day",IF(AND(L182&lt;&gt;"East",SUMIFS(merchant_workbook_pivot_table!$D$2:$D$444,merchant_workbook_pivot_table!$C$2:$C$444,E182,merchant_workbook_pivot_table!$B$2:$B$444,J182)&gt;1000),"Mid-Value Merchant Day",""))</f>
        <v/>
      </c>
    </row>
    <row r="183">
      <c r="A183" s="3" t="s">
        <v>250</v>
      </c>
      <c r="B183" s="2">
        <v>277</v>
      </c>
      <c r="C183" s="2">
        <v>17</v>
      </c>
      <c r="D183" s="8" t="s">
        <v>804</v>
      </c>
      <c r="E183" s="6" t="str">
        <f t="shared" si="4"/>
        <v>2026-01-28</v>
      </c>
      <c r="F183" s="2">
        <v>299</v>
      </c>
      <c r="G183" s="3" t="s">
        <v>66</v>
      </c>
      <c r="H183" s="3" t="s">
        <v>64</v>
      </c>
      <c r="I183" s="2">
        <v>22</v>
      </c>
      <c r="J183" s="6" t="str">
        <f>_xlfn.IFNA(VLOOKUP(C183,merchants!$A$1:$D$41,2,0),"Merchant not found")</f>
        <v>Merchant_017</v>
      </c>
      <c r="K183" s="6" t="str">
        <f>_xlfn.IFNA(VLOOKUP(C183,merchants!$A$1:$D$41,3,0),"Merchant not found")</f>
        <v>grocery</v>
      </c>
      <c r="L183" s="6" t="str">
        <f>_xlfn.IFNA(VLOOKUP(C183,merchants!$A$1:$D$41,4,0),"Merchant not found")</f>
        <v>North</v>
      </c>
      <c r="M183" s="9">
        <f t="shared" si="5"/>
        <v>0</v>
      </c>
      <c r="N183" s="6" t="str">
        <f>IF(AND(L183&lt;&gt;"East",SUMIFS(merchant_workbook_pivot_table!$D$2:$D$444,merchant_workbook_pivot_table!$C$2:$C$444,E183,merchant_workbook_pivot_table!$B$2:$B$444,J183)&gt;5000),"High-Value Merchant Day",IF(AND(L183&lt;&gt;"East",SUMIFS(merchant_workbook_pivot_table!$D$2:$D$444,merchant_workbook_pivot_table!$C$2:$C$444,E183,merchant_workbook_pivot_table!$B$2:$B$444,J183)&gt;1000),"Mid-Value Merchant Day",""))</f>
        <v/>
      </c>
    </row>
    <row r="184">
      <c r="A184" s="3" t="s">
        <v>251</v>
      </c>
      <c r="B184" s="2">
        <v>14</v>
      </c>
      <c r="C184" s="2">
        <v>9</v>
      </c>
      <c r="D184" s="8" t="s">
        <v>805</v>
      </c>
      <c r="E184" s="6" t="str">
        <f t="shared" si="4"/>
        <v>2026-01-04</v>
      </c>
      <c r="F184" s="2">
        <v>499</v>
      </c>
      <c r="G184" s="3" t="s">
        <v>66</v>
      </c>
      <c r="H184" s="3" t="s">
        <v>64</v>
      </c>
      <c r="I184" s="2">
        <v>1</v>
      </c>
      <c r="J184" s="6" t="str">
        <f>_xlfn.IFNA(VLOOKUP(C184,merchants!$A$1:$D$41,2,0),"Merchant not found")</f>
        <v>Merchant_009</v>
      </c>
      <c r="K184" s="6" t="str">
        <f>_xlfn.IFNA(VLOOKUP(C184,merchants!$A$1:$D$41,3,0),"Merchant not found")</f>
        <v>ecommerce</v>
      </c>
      <c r="L184" s="6" t="str">
        <f>_xlfn.IFNA(VLOOKUP(C184,merchants!$A$1:$D$41,4,0),"Merchant not found")</f>
        <v>North</v>
      </c>
      <c r="M184" s="9">
        <f t="shared" si="5"/>
        <v>0</v>
      </c>
      <c r="N184" s="6" t="str">
        <f>IF(AND(L184&lt;&gt;"East",SUMIFS(merchant_workbook_pivot_table!$D$2:$D$444,merchant_workbook_pivot_table!$C$2:$C$444,E184,merchant_workbook_pivot_table!$B$2:$B$444,J184)&gt;5000),"High-Value Merchant Day",IF(AND(L184&lt;&gt;"East",SUMIFS(merchant_workbook_pivot_table!$D$2:$D$444,merchant_workbook_pivot_table!$C$2:$C$444,E184,merchant_workbook_pivot_table!$B$2:$B$444,J184)&gt;1000),"Mid-Value Merchant Day",""))</f>
        <v/>
      </c>
    </row>
    <row r="185">
      <c r="A185" s="3" t="s">
        <v>252</v>
      </c>
      <c r="B185" s="2">
        <v>166</v>
      </c>
      <c r="C185" s="2">
        <v>2</v>
      </c>
      <c r="D185" s="8" t="s">
        <v>806</v>
      </c>
      <c r="E185" s="6" t="str">
        <f t="shared" si="4"/>
        <v>2026-01-12</v>
      </c>
      <c r="F185" s="2">
        <v>299</v>
      </c>
      <c r="G185" s="3" t="s">
        <v>78</v>
      </c>
      <c r="H185" s="3" t="s">
        <v>64</v>
      </c>
      <c r="I185" s="2">
        <v>22</v>
      </c>
      <c r="J185" s="6" t="str">
        <f>_xlfn.IFNA(VLOOKUP(C185,merchants!$A$1:$D$41,2,0),"Merchant not found")</f>
        <v>Merchant_002</v>
      </c>
      <c r="K185" s="6" t="str">
        <f>_xlfn.IFNA(VLOOKUP(C185,merchants!$A$1:$D$41,3,0),"Merchant not found")</f>
        <v>grocery</v>
      </c>
      <c r="L185" s="6" t="str">
        <f>_xlfn.IFNA(VLOOKUP(C185,merchants!$A$1:$D$41,4,0),"Merchant not found")</f>
        <v>West</v>
      </c>
      <c r="M185" s="9">
        <f t="shared" si="5"/>
        <v>5.9800000000000004</v>
      </c>
      <c r="N185" s="6" t="str">
        <f>IF(AND(L185&lt;&gt;"East",SUMIFS(merchant_workbook_pivot_table!$D$2:$D$444,merchant_workbook_pivot_table!$C$2:$C$444,E185,merchant_workbook_pivot_table!$B$2:$B$444,J185)&gt;5000),"High-Value Merchant Day",IF(AND(L185&lt;&gt;"East",SUMIFS(merchant_workbook_pivot_table!$D$2:$D$444,merchant_workbook_pivot_table!$C$2:$C$444,E185,merchant_workbook_pivot_table!$B$2:$B$444,J185)&gt;1000),"Mid-Value Merchant Day",""))</f>
        <v/>
      </c>
    </row>
    <row r="186">
      <c r="A186" s="3" t="s">
        <v>253</v>
      </c>
      <c r="B186" s="2">
        <v>216</v>
      </c>
      <c r="C186" s="2">
        <v>34</v>
      </c>
      <c r="D186" s="8" t="s">
        <v>807</v>
      </c>
      <c r="E186" s="6" t="str">
        <f t="shared" si="4"/>
        <v>2026-01-09</v>
      </c>
      <c r="F186" s="2">
        <v>299</v>
      </c>
      <c r="G186" s="3" t="s">
        <v>78</v>
      </c>
      <c r="H186" s="3" t="s">
        <v>64</v>
      </c>
      <c r="I186" s="2">
        <v>14</v>
      </c>
      <c r="J186" s="6" t="str">
        <f>_xlfn.IFNA(VLOOKUP(C186,merchants!$A$1:$D$41,2,0),"Merchant not found")</f>
        <v>Merchant_034</v>
      </c>
      <c r="K186" s="6" t="str">
        <f>_xlfn.IFNA(VLOOKUP(C186,merchants!$A$1:$D$41,3,0),"Merchant not found")</f>
        <v>travel</v>
      </c>
      <c r="L186" s="6" t="str">
        <f>_xlfn.IFNA(VLOOKUP(C186,merchants!$A$1:$D$41,4,0),"Merchant not found")</f>
        <v>South</v>
      </c>
      <c r="M186" s="9">
        <f t="shared" si="5"/>
        <v>5.9800000000000004</v>
      </c>
      <c r="N186" s="6" t="str">
        <f>IF(AND(L186&lt;&gt;"East",SUMIFS(merchant_workbook_pivot_table!$D$2:$D$444,merchant_workbook_pivot_table!$C$2:$C$444,E186,merchant_workbook_pivot_table!$B$2:$B$444,J186)&gt;5000),"High-Value Merchant Day",IF(AND(L186&lt;&gt;"East",SUMIFS(merchant_workbook_pivot_table!$D$2:$D$444,merchant_workbook_pivot_table!$C$2:$C$444,E186,merchant_workbook_pivot_table!$B$2:$B$444,J186)&gt;1000),"Mid-Value Merchant Day",""))</f>
        <v/>
      </c>
    </row>
    <row r="187">
      <c r="A187" s="3" t="s">
        <v>254</v>
      </c>
      <c r="B187" s="2">
        <v>230</v>
      </c>
      <c r="C187" s="2">
        <v>24</v>
      </c>
      <c r="D187" s="8" t="s">
        <v>808</v>
      </c>
      <c r="E187" s="6" t="str">
        <f t="shared" si="4"/>
        <v>2026-01-24</v>
      </c>
      <c r="F187" s="2">
        <v>49</v>
      </c>
      <c r="G187" s="3" t="s">
        <v>66</v>
      </c>
      <c r="H187" s="3" t="s">
        <v>64</v>
      </c>
      <c r="I187" s="2">
        <v>65</v>
      </c>
      <c r="J187" s="6" t="str">
        <f>_xlfn.IFNA(VLOOKUP(C187,merchants!$A$1:$D$41,2,0),"Merchant not found")</f>
        <v>Merchant_024</v>
      </c>
      <c r="K187" s="6" t="str">
        <f>_xlfn.IFNA(VLOOKUP(C187,merchants!$A$1:$D$41,3,0),"Merchant not found")</f>
        <v>grocery</v>
      </c>
      <c r="L187" s="6" t="str">
        <f>_xlfn.IFNA(VLOOKUP(C187,merchants!$A$1:$D$41,4,0),"Merchant not found")</f>
        <v>North</v>
      </c>
      <c r="M187" s="9">
        <f t="shared" si="5"/>
        <v>0</v>
      </c>
      <c r="N187" s="6" t="str">
        <f>IF(AND(L187&lt;&gt;"East",SUMIFS(merchant_workbook_pivot_table!$D$2:$D$444,merchant_workbook_pivot_table!$C$2:$C$444,E187,merchant_workbook_pivot_table!$B$2:$B$444,J187)&gt;5000),"High-Value Merchant Day",IF(AND(L187&lt;&gt;"East",SUMIFS(merchant_workbook_pivot_table!$D$2:$D$444,merchant_workbook_pivot_table!$C$2:$C$444,E187,merchant_workbook_pivot_table!$B$2:$B$444,J187)&gt;1000),"Mid-Value Merchant Day",""))</f>
        <v/>
      </c>
    </row>
    <row r="188">
      <c r="A188" s="3" t="s">
        <v>255</v>
      </c>
      <c r="B188" s="2">
        <v>258</v>
      </c>
      <c r="C188" s="2">
        <v>15</v>
      </c>
      <c r="D188" s="8" t="s">
        <v>809</v>
      </c>
      <c r="E188" s="6" t="str">
        <f t="shared" si="4"/>
        <v>2026-01-19</v>
      </c>
      <c r="F188" s="2">
        <v>499</v>
      </c>
      <c r="G188" s="3" t="s">
        <v>63</v>
      </c>
      <c r="H188" s="3" t="s">
        <v>64</v>
      </c>
      <c r="I188" s="2">
        <v>78</v>
      </c>
      <c r="J188" s="6" t="str">
        <f>_xlfn.IFNA(VLOOKUP(C188,merchants!$A$1:$D$41,2,0),"Merchant not found")</f>
        <v>Merchant_015</v>
      </c>
      <c r="K188" s="6" t="str">
        <f>_xlfn.IFNA(VLOOKUP(C188,merchants!$A$1:$D$41,3,0),"Merchant not found")</f>
        <v>travel</v>
      </c>
      <c r="L188" s="6" t="str">
        <f>_xlfn.IFNA(VLOOKUP(C188,merchants!$A$1:$D$41,4,0),"Merchant not found")</f>
        <v>North</v>
      </c>
      <c r="M188" s="9">
        <f t="shared" si="5"/>
        <v>7.4849999999999994</v>
      </c>
      <c r="N188" s="6" t="str">
        <f>IF(AND(L188&lt;&gt;"East",SUMIFS(merchant_workbook_pivot_table!$D$2:$D$444,merchant_workbook_pivot_table!$C$2:$C$444,E188,merchant_workbook_pivot_table!$B$2:$B$444,J188)&gt;5000),"High-Value Merchant Day",IF(AND(L188&lt;&gt;"East",SUMIFS(merchant_workbook_pivot_table!$D$2:$D$444,merchant_workbook_pivot_table!$C$2:$C$444,E188,merchant_workbook_pivot_table!$B$2:$B$444,J188)&gt;1000),"Mid-Value Merchant Day",""))</f>
        <v/>
      </c>
    </row>
    <row r="189">
      <c r="A189" s="3" t="s">
        <v>256</v>
      </c>
      <c r="B189" s="2">
        <v>338</v>
      </c>
      <c r="C189" s="2">
        <v>34</v>
      </c>
      <c r="D189" s="8" t="s">
        <v>810</v>
      </c>
      <c r="E189" s="6" t="str">
        <f t="shared" si="4"/>
        <v>2026-01-02</v>
      </c>
      <c r="F189" s="2">
        <v>49</v>
      </c>
      <c r="G189" s="3" t="s">
        <v>66</v>
      </c>
      <c r="H189" s="3" t="s">
        <v>64</v>
      </c>
      <c r="I189" s="2">
        <v>38</v>
      </c>
      <c r="J189" s="6" t="str">
        <f>_xlfn.IFNA(VLOOKUP(C189,merchants!$A$1:$D$41,2,0),"Merchant not found")</f>
        <v>Merchant_034</v>
      </c>
      <c r="K189" s="6" t="str">
        <f>_xlfn.IFNA(VLOOKUP(C189,merchants!$A$1:$D$41,3,0),"Merchant not found")</f>
        <v>travel</v>
      </c>
      <c r="L189" s="6" t="str">
        <f>_xlfn.IFNA(VLOOKUP(C189,merchants!$A$1:$D$41,4,0),"Merchant not found")</f>
        <v>South</v>
      </c>
      <c r="M189" s="9">
        <f t="shared" si="5"/>
        <v>0</v>
      </c>
      <c r="N189" s="6" t="str">
        <f>IF(AND(L189&lt;&gt;"East",SUMIFS(merchant_workbook_pivot_table!$D$2:$D$444,merchant_workbook_pivot_table!$C$2:$C$444,E189,merchant_workbook_pivot_table!$B$2:$B$444,J189)&gt;5000),"High-Value Merchant Day",IF(AND(L189&lt;&gt;"East",SUMIFS(merchant_workbook_pivot_table!$D$2:$D$444,merchant_workbook_pivot_table!$C$2:$C$444,E189,merchant_workbook_pivot_table!$B$2:$B$444,J189)&gt;1000),"Mid-Value Merchant Day",""))</f>
        <v/>
      </c>
    </row>
    <row r="190">
      <c r="A190" s="3" t="s">
        <v>257</v>
      </c>
      <c r="B190" s="2">
        <v>32</v>
      </c>
      <c r="C190" s="2">
        <v>31</v>
      </c>
      <c r="D190" s="8" t="s">
        <v>811</v>
      </c>
      <c r="E190" s="6" t="str">
        <f t="shared" si="4"/>
        <v>2026-01-15</v>
      </c>
      <c r="F190" s="2">
        <v>299</v>
      </c>
      <c r="G190" s="3" t="s">
        <v>66</v>
      </c>
      <c r="H190" s="3" t="s">
        <v>64</v>
      </c>
      <c r="I190" s="2">
        <v>51</v>
      </c>
      <c r="J190" s="6" t="str">
        <f>_xlfn.IFNA(VLOOKUP(C190,merchants!$A$1:$D$41,2,0),"Merchant not found")</f>
        <v>Merchant_031</v>
      </c>
      <c r="K190" s="6" t="str">
        <f>_xlfn.IFNA(VLOOKUP(C190,merchants!$A$1:$D$41,3,0),"Merchant not found")</f>
        <v>bill_payment</v>
      </c>
      <c r="L190" s="6" t="str">
        <f>_xlfn.IFNA(VLOOKUP(C190,merchants!$A$1:$D$41,4,0),"Merchant not found")</f>
        <v>East</v>
      </c>
      <c r="M190" s="9">
        <f t="shared" si="5"/>
        <v>0</v>
      </c>
      <c r="N190" s="6" t="str">
        <f>IF(AND(L190&lt;&gt;"East",SUMIFS(merchant_workbook_pivot_table!$D$2:$D$444,merchant_workbook_pivot_table!$C$2:$C$444,E190,merchant_workbook_pivot_table!$B$2:$B$444,J190)&gt;5000),"High-Value Merchant Day",IF(AND(L190&lt;&gt;"East",SUMIFS(merchant_workbook_pivot_table!$D$2:$D$444,merchant_workbook_pivot_table!$C$2:$C$444,E190,merchant_workbook_pivot_table!$B$2:$B$444,J190)&gt;1000),"Mid-Value Merchant Day",""))</f>
        <v/>
      </c>
    </row>
    <row r="191">
      <c r="A191" s="3" t="s">
        <v>258</v>
      </c>
      <c r="B191" s="2">
        <v>252</v>
      </c>
      <c r="C191" s="2">
        <v>29</v>
      </c>
      <c r="D191" s="8" t="s">
        <v>812</v>
      </c>
      <c r="E191" s="6" t="str">
        <f t="shared" si="4"/>
        <v>2026-01-14</v>
      </c>
      <c r="F191" s="2">
        <v>1499</v>
      </c>
      <c r="G191" s="3" t="s">
        <v>66</v>
      </c>
      <c r="H191" s="3" t="s">
        <v>64</v>
      </c>
      <c r="I191" s="2">
        <v>9</v>
      </c>
      <c r="J191" s="6" t="str">
        <f>_xlfn.IFNA(VLOOKUP(C191,merchants!$A$1:$D$41,2,0),"Merchant not found")</f>
        <v>Merchant_029</v>
      </c>
      <c r="K191" s="6" t="str">
        <f>_xlfn.IFNA(VLOOKUP(C191,merchants!$A$1:$D$41,3,0),"Merchant not found")</f>
        <v>ecommerce</v>
      </c>
      <c r="L191" s="6" t="str">
        <f>_xlfn.IFNA(VLOOKUP(C191,merchants!$A$1:$D$41,4,0),"Merchant not found")</f>
        <v>North</v>
      </c>
      <c r="M191" s="9">
        <f t="shared" si="5"/>
        <v>0</v>
      </c>
      <c r="N191" s="6" t="str">
        <f>IF(AND(L191&lt;&gt;"East",SUMIFS(merchant_workbook_pivot_table!$D$2:$D$444,merchant_workbook_pivot_table!$C$2:$C$444,E191,merchant_workbook_pivot_table!$B$2:$B$444,J191)&gt;5000),"High-Value Merchant Day",IF(AND(L191&lt;&gt;"East",SUMIFS(merchant_workbook_pivot_table!$D$2:$D$444,merchant_workbook_pivot_table!$C$2:$C$444,E191,merchant_workbook_pivot_table!$B$2:$B$444,J191)&gt;1000),"Mid-Value Merchant Day",""))</f>
        <v xml:space="preserve">Mid-Value Merchant Day</v>
      </c>
    </row>
    <row r="192">
      <c r="A192" s="3" t="s">
        <v>259</v>
      </c>
      <c r="B192" s="2">
        <v>312</v>
      </c>
      <c r="C192" s="2">
        <v>10</v>
      </c>
      <c r="D192" s="8" t="s">
        <v>813</v>
      </c>
      <c r="E192" s="6" t="str">
        <f t="shared" si="4"/>
        <v>2026-01-29</v>
      </c>
      <c r="F192" s="2">
        <v>799</v>
      </c>
      <c r="G192" s="3" t="s">
        <v>66</v>
      </c>
      <c r="H192" s="3" t="s">
        <v>64</v>
      </c>
      <c r="I192" s="2">
        <v>8</v>
      </c>
      <c r="J192" s="6" t="str">
        <f>_xlfn.IFNA(VLOOKUP(C192,merchants!$A$1:$D$41,2,0),"Merchant not found")</f>
        <v>Merchant_010</v>
      </c>
      <c r="K192" s="6" t="str">
        <f>_xlfn.IFNA(VLOOKUP(C192,merchants!$A$1:$D$41,3,0),"Merchant not found")</f>
        <v>grocery</v>
      </c>
      <c r="L192" s="6" t="str">
        <f>_xlfn.IFNA(VLOOKUP(C192,merchants!$A$1:$D$41,4,0),"Merchant not found")</f>
        <v>West</v>
      </c>
      <c r="M192" s="9">
        <f t="shared" si="5"/>
        <v>0</v>
      </c>
      <c r="N192" s="6" t="str">
        <f>IF(AND(L192&lt;&gt;"East",SUMIFS(merchant_workbook_pivot_table!$D$2:$D$444,merchant_workbook_pivot_table!$C$2:$C$444,E192,merchant_workbook_pivot_table!$B$2:$B$444,J192)&gt;5000),"High-Value Merchant Day",IF(AND(L192&lt;&gt;"East",SUMIFS(merchant_workbook_pivot_table!$D$2:$D$444,merchant_workbook_pivot_table!$C$2:$C$444,E192,merchant_workbook_pivot_table!$B$2:$B$444,J192)&gt;1000),"Mid-Value Merchant Day",""))</f>
        <v/>
      </c>
    </row>
    <row r="193">
      <c r="A193" s="3" t="s">
        <v>260</v>
      </c>
      <c r="B193" s="2">
        <v>325</v>
      </c>
      <c r="C193" s="2">
        <v>38</v>
      </c>
      <c r="D193" s="8" t="s">
        <v>814</v>
      </c>
      <c r="E193" s="6" t="str">
        <f t="shared" si="4"/>
        <v>2026-01-05</v>
      </c>
      <c r="F193" s="2">
        <v>1499</v>
      </c>
      <c r="G193" s="3" t="s">
        <v>69</v>
      </c>
      <c r="H193" s="3" t="s">
        <v>64</v>
      </c>
      <c r="I193" s="2">
        <v>70</v>
      </c>
      <c r="J193" s="6" t="str">
        <f>_xlfn.IFNA(VLOOKUP(C193,merchants!$A$1:$D$41,2,0),"Merchant not found")</f>
        <v>Merchant_038</v>
      </c>
      <c r="K193" s="6" t="str">
        <f>_xlfn.IFNA(VLOOKUP(C193,merchants!$A$1:$D$41,3,0),"Merchant not found")</f>
        <v>grocery</v>
      </c>
      <c r="L193" s="6" t="str">
        <f>_xlfn.IFNA(VLOOKUP(C193,merchants!$A$1:$D$41,4,0),"Merchant not found")</f>
        <v>East</v>
      </c>
      <c r="M193" s="9">
        <f t="shared" si="5"/>
        <v>14.99</v>
      </c>
      <c r="N193" s="6" t="str">
        <f>IF(AND(L193&lt;&gt;"East",SUMIFS(merchant_workbook_pivot_table!$D$2:$D$444,merchant_workbook_pivot_table!$C$2:$C$444,E193,merchant_workbook_pivot_table!$B$2:$B$444,J193)&gt;5000),"High-Value Merchant Day",IF(AND(L193&lt;&gt;"East",SUMIFS(merchant_workbook_pivot_table!$D$2:$D$444,merchant_workbook_pivot_table!$C$2:$C$444,E193,merchant_workbook_pivot_table!$B$2:$B$444,J193)&gt;1000),"Mid-Value Merchant Day",""))</f>
        <v/>
      </c>
    </row>
    <row r="194">
      <c r="A194" s="3" t="s">
        <v>261</v>
      </c>
      <c r="B194" s="2">
        <v>306</v>
      </c>
      <c r="C194" s="2">
        <v>34</v>
      </c>
      <c r="D194" s="8" t="s">
        <v>815</v>
      </c>
      <c r="E194" s="6" t="str">
        <f t="shared" ref="E194:E257" si="6">LEFT(D194,10)</f>
        <v>2026-01-23</v>
      </c>
      <c r="F194" s="2">
        <v>2999</v>
      </c>
      <c r="G194" s="3" t="s">
        <v>66</v>
      </c>
      <c r="H194" s="3" t="s">
        <v>64</v>
      </c>
      <c r="I194" s="2">
        <v>37</v>
      </c>
      <c r="J194" s="6" t="str">
        <f>_xlfn.IFNA(VLOOKUP(C194,merchants!$A$1:$D$41,2,0),"Merchant not found")</f>
        <v>Merchant_034</v>
      </c>
      <c r="K194" s="6" t="str">
        <f>_xlfn.IFNA(VLOOKUP(C194,merchants!$A$1:$D$41,3,0),"Merchant not found")</f>
        <v>travel</v>
      </c>
      <c r="L194" s="6" t="str">
        <f>_xlfn.IFNA(VLOOKUP(C194,merchants!$A$1:$D$41,4,0),"Merchant not found")</f>
        <v>South</v>
      </c>
      <c r="M194" s="9">
        <f t="shared" ref="M194:M257" si="7">F194*(HLOOKUP(G194,$Q$1:$T$2,2,0))</f>
        <v>0</v>
      </c>
      <c r="N194" s="6" t="str">
        <f>IF(AND(L194&lt;&gt;"East",SUMIFS(merchant_workbook_pivot_table!$D$2:$D$444,merchant_workbook_pivot_table!$C$2:$C$444,E194,merchant_workbook_pivot_table!$B$2:$B$444,J194)&gt;5000),"High-Value Merchant Day",IF(AND(L194&lt;&gt;"East",SUMIFS(merchant_workbook_pivot_table!$D$2:$D$444,merchant_workbook_pivot_table!$C$2:$C$444,E194,merchant_workbook_pivot_table!$B$2:$B$444,J194)&gt;1000),"Mid-Value Merchant Day",""))</f>
        <v xml:space="preserve">Mid-Value Merchant Day</v>
      </c>
    </row>
    <row r="195">
      <c r="A195" s="3" t="s">
        <v>262</v>
      </c>
      <c r="B195" s="2">
        <v>221</v>
      </c>
      <c r="C195" s="2">
        <v>7</v>
      </c>
      <c r="D195" s="8" t="s">
        <v>816</v>
      </c>
      <c r="E195" s="6" t="str">
        <f t="shared" si="6"/>
        <v>2026-01-15</v>
      </c>
      <c r="F195" s="2">
        <v>149</v>
      </c>
      <c r="G195" s="3" t="s">
        <v>69</v>
      </c>
      <c r="H195" s="3" t="s">
        <v>64</v>
      </c>
      <c r="I195" s="2">
        <v>89</v>
      </c>
      <c r="J195" s="6" t="str">
        <f>_xlfn.IFNA(VLOOKUP(C195,merchants!$A$1:$D$41,2,0),"Merchant not found")</f>
        <v>Merchant_007</v>
      </c>
      <c r="K195" s="6" t="str">
        <f>_xlfn.IFNA(VLOOKUP(C195,merchants!$A$1:$D$41,3,0),"Merchant not found")</f>
        <v>food_delivery</v>
      </c>
      <c r="L195" s="6" t="str">
        <f>_xlfn.IFNA(VLOOKUP(C195,merchants!$A$1:$D$41,4,0),"Merchant not found")</f>
        <v>East</v>
      </c>
      <c r="M195" s="9">
        <f t="shared" si="7"/>
        <v>1.49</v>
      </c>
      <c r="N195" s="6" t="str">
        <f>IF(AND(L195&lt;&gt;"East",SUMIFS(merchant_workbook_pivot_table!$D$2:$D$444,merchant_workbook_pivot_table!$C$2:$C$444,E195,merchant_workbook_pivot_table!$B$2:$B$444,J195)&gt;5000),"High-Value Merchant Day",IF(AND(L195&lt;&gt;"East",SUMIFS(merchant_workbook_pivot_table!$D$2:$D$444,merchant_workbook_pivot_table!$C$2:$C$444,E195,merchant_workbook_pivot_table!$B$2:$B$444,J195)&gt;1000),"Mid-Value Merchant Day",""))</f>
        <v/>
      </c>
    </row>
    <row r="196">
      <c r="A196" s="3" t="s">
        <v>263</v>
      </c>
      <c r="B196" s="2">
        <v>283</v>
      </c>
      <c r="C196" s="2">
        <v>14</v>
      </c>
      <c r="D196" s="8" t="s">
        <v>780</v>
      </c>
      <c r="E196" s="6" t="str">
        <f t="shared" si="6"/>
        <v>2026-01-04</v>
      </c>
      <c r="F196" s="2">
        <v>99</v>
      </c>
      <c r="G196" s="3" t="s">
        <v>63</v>
      </c>
      <c r="H196" s="3" t="s">
        <v>64</v>
      </c>
      <c r="I196" s="2">
        <v>55</v>
      </c>
      <c r="J196" s="6" t="str">
        <f>_xlfn.IFNA(VLOOKUP(C196,merchants!$A$1:$D$41,2,0),"Merchant not found")</f>
        <v>Merchant_014</v>
      </c>
      <c r="K196" s="6" t="str">
        <f>_xlfn.IFNA(VLOOKUP(C196,merchants!$A$1:$D$41,3,0),"Merchant not found")</f>
        <v>grocery</v>
      </c>
      <c r="L196" s="6" t="str">
        <f>_xlfn.IFNA(VLOOKUP(C196,merchants!$A$1:$D$41,4,0),"Merchant not found")</f>
        <v>East</v>
      </c>
      <c r="M196" s="9">
        <f t="shared" si="7"/>
        <v>1.4849999999999999</v>
      </c>
      <c r="N196" s="6" t="str">
        <f>IF(AND(L196&lt;&gt;"East",SUMIFS(merchant_workbook_pivot_table!$D$2:$D$444,merchant_workbook_pivot_table!$C$2:$C$444,E196,merchant_workbook_pivot_table!$B$2:$B$444,J196)&gt;5000),"High-Value Merchant Day",IF(AND(L196&lt;&gt;"East",SUMIFS(merchant_workbook_pivot_table!$D$2:$D$444,merchant_workbook_pivot_table!$C$2:$C$444,E196,merchant_workbook_pivot_table!$B$2:$B$444,J196)&gt;1000),"Mid-Value Merchant Day",""))</f>
        <v/>
      </c>
    </row>
    <row r="197">
      <c r="A197" s="3" t="s">
        <v>264</v>
      </c>
      <c r="B197" s="2">
        <v>174</v>
      </c>
      <c r="C197" s="2">
        <v>30</v>
      </c>
      <c r="D197" s="8" t="s">
        <v>817</v>
      </c>
      <c r="E197" s="6" t="str">
        <f t="shared" si="6"/>
        <v>2026-01-15</v>
      </c>
      <c r="F197" s="2">
        <v>49</v>
      </c>
      <c r="G197" s="3" t="s">
        <v>66</v>
      </c>
      <c r="H197" s="3" t="s">
        <v>64</v>
      </c>
      <c r="I197" s="2">
        <v>51</v>
      </c>
      <c r="J197" s="6" t="str">
        <f>_xlfn.IFNA(VLOOKUP(C197,merchants!$A$1:$D$41,2,0),"Merchant not found")</f>
        <v>Merchant_030</v>
      </c>
      <c r="K197" s="6" t="str">
        <f>_xlfn.IFNA(VLOOKUP(C197,merchants!$A$1:$D$41,3,0),"Merchant not found")</f>
        <v>travel</v>
      </c>
      <c r="L197" s="6" t="str">
        <f>_xlfn.IFNA(VLOOKUP(C197,merchants!$A$1:$D$41,4,0),"Merchant not found")</f>
        <v>West</v>
      </c>
      <c r="M197" s="9">
        <f t="shared" si="7"/>
        <v>0</v>
      </c>
      <c r="N197" s="6" t="str">
        <f>IF(AND(L197&lt;&gt;"East",SUMIFS(merchant_workbook_pivot_table!$D$2:$D$444,merchant_workbook_pivot_table!$C$2:$C$444,E197,merchant_workbook_pivot_table!$B$2:$B$444,J197)&gt;5000),"High-Value Merchant Day",IF(AND(L197&lt;&gt;"East",SUMIFS(merchant_workbook_pivot_table!$D$2:$D$444,merchant_workbook_pivot_table!$C$2:$C$444,E197,merchant_workbook_pivot_table!$B$2:$B$444,J197)&gt;1000),"Mid-Value Merchant Day",""))</f>
        <v/>
      </c>
    </row>
    <row r="198">
      <c r="A198" s="3" t="s">
        <v>265</v>
      </c>
      <c r="B198" s="2">
        <v>161</v>
      </c>
      <c r="C198" s="2">
        <v>28</v>
      </c>
      <c r="D198" s="8" t="s">
        <v>818</v>
      </c>
      <c r="E198" s="6" t="str">
        <f t="shared" si="6"/>
        <v>2026-01-14</v>
      </c>
      <c r="F198" s="2">
        <v>49</v>
      </c>
      <c r="G198" s="3" t="s">
        <v>66</v>
      </c>
      <c r="H198" s="3" t="s">
        <v>64</v>
      </c>
      <c r="I198" s="2">
        <v>40</v>
      </c>
      <c r="J198" s="6" t="str">
        <f>_xlfn.IFNA(VLOOKUP(C198,merchants!$A$1:$D$41,2,0),"Merchant not found")</f>
        <v>Merchant_028</v>
      </c>
      <c r="K198" s="6" t="str">
        <f>_xlfn.IFNA(VLOOKUP(C198,merchants!$A$1:$D$41,3,0),"Merchant not found")</f>
        <v>ecommerce</v>
      </c>
      <c r="L198" s="6" t="str">
        <f>_xlfn.IFNA(VLOOKUP(C198,merchants!$A$1:$D$41,4,0),"Merchant not found")</f>
        <v>South</v>
      </c>
      <c r="M198" s="9">
        <f t="shared" si="7"/>
        <v>0</v>
      </c>
      <c r="N198" s="6" t="str">
        <f>IF(AND(L198&lt;&gt;"East",SUMIFS(merchant_workbook_pivot_table!$D$2:$D$444,merchant_workbook_pivot_table!$C$2:$C$444,E198,merchant_workbook_pivot_table!$B$2:$B$444,J198)&gt;5000),"High-Value Merchant Day",IF(AND(L198&lt;&gt;"East",SUMIFS(merchant_workbook_pivot_table!$D$2:$D$444,merchant_workbook_pivot_table!$C$2:$C$444,E198,merchant_workbook_pivot_table!$B$2:$B$444,J198)&gt;1000),"Mid-Value Merchant Day",""))</f>
        <v/>
      </c>
    </row>
    <row r="199">
      <c r="A199" s="3" t="s">
        <v>266</v>
      </c>
      <c r="B199" s="2">
        <v>79</v>
      </c>
      <c r="C199" s="2">
        <v>31</v>
      </c>
      <c r="D199" s="8" t="s">
        <v>819</v>
      </c>
      <c r="E199" s="6" t="str">
        <f t="shared" si="6"/>
        <v>2026-01-22</v>
      </c>
      <c r="F199" s="2">
        <v>99</v>
      </c>
      <c r="G199" s="3" t="s">
        <v>66</v>
      </c>
      <c r="H199" s="3" t="s">
        <v>64</v>
      </c>
      <c r="I199" s="2">
        <v>8</v>
      </c>
      <c r="J199" s="6" t="str">
        <f>_xlfn.IFNA(VLOOKUP(C199,merchants!$A$1:$D$41,2,0),"Merchant not found")</f>
        <v>Merchant_031</v>
      </c>
      <c r="K199" s="6" t="str">
        <f>_xlfn.IFNA(VLOOKUP(C199,merchants!$A$1:$D$41,3,0),"Merchant not found")</f>
        <v>bill_payment</v>
      </c>
      <c r="L199" s="6" t="str">
        <f>_xlfn.IFNA(VLOOKUP(C199,merchants!$A$1:$D$41,4,0),"Merchant not found")</f>
        <v>East</v>
      </c>
      <c r="M199" s="9">
        <f t="shared" si="7"/>
        <v>0</v>
      </c>
      <c r="N199" s="6" t="str">
        <f>IF(AND(L199&lt;&gt;"East",SUMIFS(merchant_workbook_pivot_table!$D$2:$D$444,merchant_workbook_pivot_table!$C$2:$C$444,E199,merchant_workbook_pivot_table!$B$2:$B$444,J199)&gt;5000),"High-Value Merchant Day",IF(AND(L199&lt;&gt;"East",SUMIFS(merchant_workbook_pivot_table!$D$2:$D$444,merchant_workbook_pivot_table!$C$2:$C$444,E199,merchant_workbook_pivot_table!$B$2:$B$444,J199)&gt;1000),"Mid-Value Merchant Day",""))</f>
        <v/>
      </c>
    </row>
    <row r="200">
      <c r="A200" s="3" t="s">
        <v>267</v>
      </c>
      <c r="B200" s="2">
        <v>222</v>
      </c>
      <c r="C200" s="2">
        <v>7</v>
      </c>
      <c r="D200" s="8" t="s">
        <v>820</v>
      </c>
      <c r="E200" s="6" t="str">
        <f t="shared" si="6"/>
        <v>2026-01-03</v>
      </c>
      <c r="F200" s="2">
        <v>149</v>
      </c>
      <c r="G200" s="3" t="s">
        <v>63</v>
      </c>
      <c r="H200" s="3" t="s">
        <v>64</v>
      </c>
      <c r="I200" s="2">
        <v>95</v>
      </c>
      <c r="J200" s="6" t="str">
        <f>_xlfn.IFNA(VLOOKUP(C200,merchants!$A$1:$D$41,2,0),"Merchant not found")</f>
        <v>Merchant_007</v>
      </c>
      <c r="K200" s="6" t="str">
        <f>_xlfn.IFNA(VLOOKUP(C200,merchants!$A$1:$D$41,3,0),"Merchant not found")</f>
        <v>food_delivery</v>
      </c>
      <c r="L200" s="6" t="str">
        <f>_xlfn.IFNA(VLOOKUP(C200,merchants!$A$1:$D$41,4,0),"Merchant not found")</f>
        <v>East</v>
      </c>
      <c r="M200" s="9">
        <f t="shared" si="7"/>
        <v>2.2349999999999999</v>
      </c>
      <c r="N200" s="6" t="str">
        <f>IF(AND(L200&lt;&gt;"East",SUMIFS(merchant_workbook_pivot_table!$D$2:$D$444,merchant_workbook_pivot_table!$C$2:$C$444,E200,merchant_workbook_pivot_table!$B$2:$B$444,J200)&gt;5000),"High-Value Merchant Day",IF(AND(L200&lt;&gt;"East",SUMIFS(merchant_workbook_pivot_table!$D$2:$D$444,merchant_workbook_pivot_table!$C$2:$C$444,E200,merchant_workbook_pivot_table!$B$2:$B$444,J200)&gt;1000),"Mid-Value Merchant Day",""))</f>
        <v/>
      </c>
    </row>
    <row r="201">
      <c r="A201" s="3" t="s">
        <v>268</v>
      </c>
      <c r="B201" s="2">
        <v>67</v>
      </c>
      <c r="C201" s="2">
        <v>36</v>
      </c>
      <c r="D201" s="8" t="s">
        <v>821</v>
      </c>
      <c r="E201" s="6" t="str">
        <f t="shared" si="6"/>
        <v>2026-01-24</v>
      </c>
      <c r="F201" s="2">
        <v>99</v>
      </c>
      <c r="G201" s="3" t="s">
        <v>66</v>
      </c>
      <c r="H201" s="3" t="s">
        <v>64</v>
      </c>
      <c r="I201" s="2">
        <v>7</v>
      </c>
      <c r="J201" s="6" t="str">
        <f>_xlfn.IFNA(VLOOKUP(C201,merchants!$A$1:$D$41,2,0),"Merchant not found")</f>
        <v>Merchant_036</v>
      </c>
      <c r="K201" s="6" t="str">
        <f>_xlfn.IFNA(VLOOKUP(C201,merchants!$A$1:$D$41,3,0),"Merchant not found")</f>
        <v>entertainment</v>
      </c>
      <c r="L201" s="6" t="str">
        <f>_xlfn.IFNA(VLOOKUP(C201,merchants!$A$1:$D$41,4,0),"Merchant not found")</f>
        <v>East</v>
      </c>
      <c r="M201" s="9">
        <f t="shared" si="7"/>
        <v>0</v>
      </c>
      <c r="N201" s="6" t="str">
        <f>IF(AND(L201&lt;&gt;"East",SUMIFS(merchant_workbook_pivot_table!$D$2:$D$444,merchant_workbook_pivot_table!$C$2:$C$444,E201,merchant_workbook_pivot_table!$B$2:$B$444,J201)&gt;5000),"High-Value Merchant Day",IF(AND(L201&lt;&gt;"East",SUMIFS(merchant_workbook_pivot_table!$D$2:$D$444,merchant_workbook_pivot_table!$C$2:$C$444,E201,merchant_workbook_pivot_table!$B$2:$B$444,J201)&gt;1000),"Mid-Value Merchant Day",""))</f>
        <v/>
      </c>
    </row>
    <row r="202">
      <c r="A202" s="3" t="s">
        <v>269</v>
      </c>
      <c r="B202" s="2">
        <v>169</v>
      </c>
      <c r="C202" s="2">
        <v>8</v>
      </c>
      <c r="D202" s="8" t="s">
        <v>822</v>
      </c>
      <c r="E202" s="6" t="str">
        <f t="shared" si="6"/>
        <v>2026-01-19</v>
      </c>
      <c r="F202" s="2">
        <v>99</v>
      </c>
      <c r="G202" s="3" t="s">
        <v>66</v>
      </c>
      <c r="H202" s="3" t="s">
        <v>64</v>
      </c>
      <c r="I202" s="2">
        <v>52</v>
      </c>
      <c r="J202" s="6" t="str">
        <f>_xlfn.IFNA(VLOOKUP(C202,merchants!$A$1:$D$41,2,0),"Merchant not found")</f>
        <v>Merchant_008</v>
      </c>
      <c r="K202" s="6" t="str">
        <f>_xlfn.IFNA(VLOOKUP(C202,merchants!$A$1:$D$41,3,0),"Merchant not found")</f>
        <v>food_delivery</v>
      </c>
      <c r="L202" s="6" t="str">
        <f>_xlfn.IFNA(VLOOKUP(C202,merchants!$A$1:$D$41,4,0),"Merchant not found")</f>
        <v>North</v>
      </c>
      <c r="M202" s="9">
        <f t="shared" si="7"/>
        <v>0</v>
      </c>
      <c r="N202" s="6" t="str">
        <f>IF(AND(L202&lt;&gt;"East",SUMIFS(merchant_workbook_pivot_table!$D$2:$D$444,merchant_workbook_pivot_table!$C$2:$C$444,E202,merchant_workbook_pivot_table!$B$2:$B$444,J202)&gt;5000),"High-Value Merchant Day",IF(AND(L202&lt;&gt;"East",SUMIFS(merchant_workbook_pivot_table!$D$2:$D$444,merchant_workbook_pivot_table!$C$2:$C$444,E202,merchant_workbook_pivot_table!$B$2:$B$444,J202)&gt;1000),"Mid-Value Merchant Day",""))</f>
        <v/>
      </c>
    </row>
    <row r="203">
      <c r="A203" s="3" t="s">
        <v>270</v>
      </c>
      <c r="B203" s="2">
        <v>217</v>
      </c>
      <c r="C203" s="2">
        <v>4</v>
      </c>
      <c r="D203" s="8" t="s">
        <v>823</v>
      </c>
      <c r="E203" s="6" t="str">
        <f t="shared" si="6"/>
        <v>2026-01-12</v>
      </c>
      <c r="F203" s="2">
        <v>49</v>
      </c>
      <c r="G203" s="3" t="s">
        <v>66</v>
      </c>
      <c r="H203" s="3" t="s">
        <v>64</v>
      </c>
      <c r="I203" s="2">
        <v>36</v>
      </c>
      <c r="J203" s="6" t="str">
        <f>_xlfn.IFNA(VLOOKUP(C203,merchants!$A$1:$D$41,2,0),"Merchant not found")</f>
        <v>Merchant_004</v>
      </c>
      <c r="K203" s="6" t="str">
        <f>_xlfn.IFNA(VLOOKUP(C203,merchants!$A$1:$D$41,3,0),"Merchant not found")</f>
        <v>ecommerce</v>
      </c>
      <c r="L203" s="6" t="str">
        <f>_xlfn.IFNA(VLOOKUP(C203,merchants!$A$1:$D$41,4,0),"Merchant not found")</f>
        <v>East</v>
      </c>
      <c r="M203" s="9">
        <f t="shared" si="7"/>
        <v>0</v>
      </c>
      <c r="N203" s="6" t="str">
        <f>IF(AND(L203&lt;&gt;"East",SUMIFS(merchant_workbook_pivot_table!$D$2:$D$444,merchant_workbook_pivot_table!$C$2:$C$444,E203,merchant_workbook_pivot_table!$B$2:$B$444,J203)&gt;5000),"High-Value Merchant Day",IF(AND(L203&lt;&gt;"East",SUMIFS(merchant_workbook_pivot_table!$D$2:$D$444,merchant_workbook_pivot_table!$C$2:$C$444,E203,merchant_workbook_pivot_table!$B$2:$B$444,J203)&gt;1000),"Mid-Value Merchant Day",""))</f>
        <v/>
      </c>
    </row>
    <row r="204">
      <c r="A204" s="3" t="s">
        <v>271</v>
      </c>
      <c r="B204" s="2">
        <v>54</v>
      </c>
      <c r="C204" s="2">
        <v>37</v>
      </c>
      <c r="D204" s="8" t="s">
        <v>824</v>
      </c>
      <c r="E204" s="6" t="str">
        <f t="shared" si="6"/>
        <v>2026-01-20</v>
      </c>
      <c r="F204" s="2">
        <v>149</v>
      </c>
      <c r="G204" s="3" t="s">
        <v>66</v>
      </c>
      <c r="H204" s="3" t="s">
        <v>64</v>
      </c>
      <c r="I204" s="2">
        <v>64</v>
      </c>
      <c r="J204" s="6" t="str">
        <f>_xlfn.IFNA(VLOOKUP(C204,merchants!$A$1:$D$41,2,0),"Merchant not found")</f>
        <v>Merchant_037</v>
      </c>
      <c r="K204" s="6" t="str">
        <f>_xlfn.IFNA(VLOOKUP(C204,merchants!$A$1:$D$41,3,0),"Merchant not found")</f>
        <v>entertainment</v>
      </c>
      <c r="L204" s="6" t="str">
        <f>_xlfn.IFNA(VLOOKUP(C204,merchants!$A$1:$D$41,4,0),"Merchant not found")</f>
        <v>South</v>
      </c>
      <c r="M204" s="9">
        <f t="shared" si="7"/>
        <v>0</v>
      </c>
      <c r="N204" s="6" t="str">
        <f>IF(AND(L204&lt;&gt;"East",SUMIFS(merchant_workbook_pivot_table!$D$2:$D$444,merchant_workbook_pivot_table!$C$2:$C$444,E204,merchant_workbook_pivot_table!$B$2:$B$444,J204)&gt;5000),"High-Value Merchant Day",IF(AND(L204&lt;&gt;"East",SUMIFS(merchant_workbook_pivot_table!$D$2:$D$444,merchant_workbook_pivot_table!$C$2:$C$444,E204,merchant_workbook_pivot_table!$B$2:$B$444,J204)&gt;1000),"Mid-Value Merchant Day",""))</f>
        <v/>
      </c>
    </row>
    <row r="205">
      <c r="A205" s="3" t="s">
        <v>272</v>
      </c>
      <c r="B205" s="2">
        <v>247</v>
      </c>
      <c r="C205" s="2">
        <v>15</v>
      </c>
      <c r="D205" s="8" t="s">
        <v>825</v>
      </c>
      <c r="E205" s="6" t="str">
        <f t="shared" si="6"/>
        <v>2026-01-07</v>
      </c>
      <c r="F205" s="2">
        <v>49</v>
      </c>
      <c r="G205" s="3" t="s">
        <v>78</v>
      </c>
      <c r="H205" s="3" t="s">
        <v>64</v>
      </c>
      <c r="I205" s="2">
        <v>13</v>
      </c>
      <c r="J205" s="6" t="str">
        <f>_xlfn.IFNA(VLOOKUP(C205,merchants!$A$1:$D$41,2,0),"Merchant not found")</f>
        <v>Merchant_015</v>
      </c>
      <c r="K205" s="6" t="str">
        <f>_xlfn.IFNA(VLOOKUP(C205,merchants!$A$1:$D$41,3,0),"Merchant not found")</f>
        <v>travel</v>
      </c>
      <c r="L205" s="6" t="str">
        <f>_xlfn.IFNA(VLOOKUP(C205,merchants!$A$1:$D$41,4,0),"Merchant not found")</f>
        <v>North</v>
      </c>
      <c r="M205" s="9">
        <f t="shared" si="7"/>
        <v>0.97999999999999998</v>
      </c>
      <c r="N205" s="6" t="str">
        <f>IF(AND(L205&lt;&gt;"East",SUMIFS(merchant_workbook_pivot_table!$D$2:$D$444,merchant_workbook_pivot_table!$C$2:$C$444,E205,merchant_workbook_pivot_table!$B$2:$B$444,J205)&gt;5000),"High-Value Merchant Day",IF(AND(L205&lt;&gt;"East",SUMIFS(merchant_workbook_pivot_table!$D$2:$D$444,merchant_workbook_pivot_table!$C$2:$C$444,E205,merchant_workbook_pivot_table!$B$2:$B$444,J205)&gt;1000),"Mid-Value Merchant Day",""))</f>
        <v/>
      </c>
    </row>
    <row r="206">
      <c r="A206" s="3" t="s">
        <v>273</v>
      </c>
      <c r="B206" s="2">
        <v>59</v>
      </c>
      <c r="C206" s="2">
        <v>18</v>
      </c>
      <c r="D206" s="8" t="s">
        <v>826</v>
      </c>
      <c r="E206" s="6" t="str">
        <f t="shared" si="6"/>
        <v>2026-01-12</v>
      </c>
      <c r="F206" s="2">
        <v>49</v>
      </c>
      <c r="G206" s="3" t="s">
        <v>78</v>
      </c>
      <c r="H206" s="3" t="s">
        <v>64</v>
      </c>
      <c r="I206" s="2">
        <v>73</v>
      </c>
      <c r="J206" s="6" t="str">
        <f>_xlfn.IFNA(VLOOKUP(C206,merchants!$A$1:$D$41,2,0),"Merchant not found")</f>
        <v>Merchant_018</v>
      </c>
      <c r="K206" s="6" t="str">
        <f>_xlfn.IFNA(VLOOKUP(C206,merchants!$A$1:$D$41,3,0),"Merchant not found")</f>
        <v>grocery</v>
      </c>
      <c r="L206" s="6" t="str">
        <f>_xlfn.IFNA(VLOOKUP(C206,merchants!$A$1:$D$41,4,0),"Merchant not found")</f>
        <v>West</v>
      </c>
      <c r="M206" s="9">
        <f t="shared" si="7"/>
        <v>0.97999999999999998</v>
      </c>
      <c r="N206" s="6" t="str">
        <f>IF(AND(L206&lt;&gt;"East",SUMIFS(merchant_workbook_pivot_table!$D$2:$D$444,merchant_workbook_pivot_table!$C$2:$C$444,E206,merchant_workbook_pivot_table!$B$2:$B$444,J206)&gt;5000),"High-Value Merchant Day",IF(AND(L206&lt;&gt;"East",SUMIFS(merchant_workbook_pivot_table!$D$2:$D$444,merchant_workbook_pivot_table!$C$2:$C$444,E206,merchant_workbook_pivot_table!$B$2:$B$444,J206)&gt;1000),"Mid-Value Merchant Day",""))</f>
        <v/>
      </c>
    </row>
    <row r="207">
      <c r="A207" s="3" t="s">
        <v>274</v>
      </c>
      <c r="B207" s="2">
        <v>288</v>
      </c>
      <c r="C207" s="2">
        <v>40</v>
      </c>
      <c r="D207" s="8" t="s">
        <v>827</v>
      </c>
      <c r="E207" s="6" t="str">
        <f t="shared" si="6"/>
        <v>2026-01-08</v>
      </c>
      <c r="F207" s="2">
        <v>49</v>
      </c>
      <c r="G207" s="3" t="s">
        <v>66</v>
      </c>
      <c r="H207" s="3" t="s">
        <v>79</v>
      </c>
      <c r="I207" s="2">
        <v>78</v>
      </c>
      <c r="J207" s="6" t="str">
        <f>_xlfn.IFNA(VLOOKUP(C207,merchants!$A$1:$D$41,2,0),"Merchant not found")</f>
        <v>Merchant_040</v>
      </c>
      <c r="K207" s="6" t="str">
        <f>_xlfn.IFNA(VLOOKUP(C207,merchants!$A$1:$D$41,3,0),"Merchant not found")</f>
        <v>entertainment</v>
      </c>
      <c r="L207" s="6" t="str">
        <f>_xlfn.IFNA(VLOOKUP(C207,merchants!$A$1:$D$41,4,0),"Merchant not found")</f>
        <v>South</v>
      </c>
      <c r="M207" s="9">
        <f t="shared" si="7"/>
        <v>0</v>
      </c>
      <c r="N207" s="6" t="str">
        <f>IF(AND(L207&lt;&gt;"East",SUMIFS(merchant_workbook_pivot_table!$D$2:$D$444,merchant_workbook_pivot_table!$C$2:$C$444,E207,merchant_workbook_pivot_table!$B$2:$B$444,J207)&gt;5000),"High-Value Merchant Day",IF(AND(L207&lt;&gt;"East",SUMIFS(merchant_workbook_pivot_table!$D$2:$D$444,merchant_workbook_pivot_table!$C$2:$C$444,E207,merchant_workbook_pivot_table!$B$2:$B$444,J207)&gt;1000),"Mid-Value Merchant Day",""))</f>
        <v/>
      </c>
    </row>
    <row r="208">
      <c r="A208" s="3" t="s">
        <v>275</v>
      </c>
      <c r="B208" s="2">
        <v>14</v>
      </c>
      <c r="C208" s="2">
        <v>39</v>
      </c>
      <c r="D208" s="8" t="s">
        <v>828</v>
      </c>
      <c r="E208" s="6" t="str">
        <f t="shared" si="6"/>
        <v>2026-01-22</v>
      </c>
      <c r="F208" s="2">
        <v>799</v>
      </c>
      <c r="G208" s="3" t="s">
        <v>66</v>
      </c>
      <c r="H208" s="3" t="s">
        <v>64</v>
      </c>
      <c r="I208" s="2">
        <v>84</v>
      </c>
      <c r="J208" s="6" t="str">
        <f>_xlfn.IFNA(VLOOKUP(C208,merchants!$A$1:$D$41,2,0),"Merchant not found")</f>
        <v>Merchant_039</v>
      </c>
      <c r="K208" s="6" t="str">
        <f>_xlfn.IFNA(VLOOKUP(C208,merchants!$A$1:$D$41,3,0),"Merchant not found")</f>
        <v>entertainment</v>
      </c>
      <c r="L208" s="6" t="str">
        <f>_xlfn.IFNA(VLOOKUP(C208,merchants!$A$1:$D$41,4,0),"Merchant not found")</f>
        <v>North</v>
      </c>
      <c r="M208" s="9">
        <f t="shared" si="7"/>
        <v>0</v>
      </c>
      <c r="N208" s="6" t="str">
        <f>IF(AND(L208&lt;&gt;"East",SUMIFS(merchant_workbook_pivot_table!$D$2:$D$444,merchant_workbook_pivot_table!$C$2:$C$444,E208,merchant_workbook_pivot_table!$B$2:$B$444,J208)&gt;5000),"High-Value Merchant Day",IF(AND(L208&lt;&gt;"East",SUMIFS(merchant_workbook_pivot_table!$D$2:$D$444,merchant_workbook_pivot_table!$C$2:$C$444,E208,merchant_workbook_pivot_table!$B$2:$B$444,J208)&gt;1000),"Mid-Value Merchant Day",""))</f>
        <v xml:space="preserve">High-Value Merchant Day</v>
      </c>
    </row>
    <row r="209">
      <c r="A209" s="3" t="s">
        <v>276</v>
      </c>
      <c r="B209" s="2">
        <v>15</v>
      </c>
      <c r="C209" s="2">
        <v>12</v>
      </c>
      <c r="D209" s="8" t="s">
        <v>829</v>
      </c>
      <c r="E209" s="6" t="str">
        <f t="shared" si="6"/>
        <v>2026-01-27</v>
      </c>
      <c r="F209" s="2">
        <v>149</v>
      </c>
      <c r="G209" s="3" t="s">
        <v>66</v>
      </c>
      <c r="H209" s="3" t="s">
        <v>64</v>
      </c>
      <c r="I209" s="2">
        <v>34</v>
      </c>
      <c r="J209" s="6" t="str">
        <f>_xlfn.IFNA(VLOOKUP(C209,merchants!$A$1:$D$41,2,0),"Merchant not found")</f>
        <v>Merchant_012</v>
      </c>
      <c r="K209" s="6" t="str">
        <f>_xlfn.IFNA(VLOOKUP(C209,merchants!$A$1:$D$41,3,0),"Merchant not found")</f>
        <v>ecommerce</v>
      </c>
      <c r="L209" s="6" t="str">
        <f>_xlfn.IFNA(VLOOKUP(C209,merchants!$A$1:$D$41,4,0),"Merchant not found")</f>
        <v>East</v>
      </c>
      <c r="M209" s="9">
        <f t="shared" si="7"/>
        <v>0</v>
      </c>
      <c r="N209" s="6" t="str">
        <f>IF(AND(L209&lt;&gt;"East",SUMIFS(merchant_workbook_pivot_table!$D$2:$D$444,merchant_workbook_pivot_table!$C$2:$C$444,E209,merchant_workbook_pivot_table!$B$2:$B$444,J209)&gt;5000),"High-Value Merchant Day",IF(AND(L209&lt;&gt;"East",SUMIFS(merchant_workbook_pivot_table!$D$2:$D$444,merchant_workbook_pivot_table!$C$2:$C$444,E209,merchant_workbook_pivot_table!$B$2:$B$444,J209)&gt;1000),"Mid-Value Merchant Day",""))</f>
        <v/>
      </c>
    </row>
    <row r="210">
      <c r="A210" s="3" t="s">
        <v>277</v>
      </c>
      <c r="B210" s="2">
        <v>174</v>
      </c>
      <c r="C210" s="2">
        <v>23</v>
      </c>
      <c r="D210" s="8" t="s">
        <v>830</v>
      </c>
      <c r="E210" s="6" t="str">
        <f t="shared" si="6"/>
        <v>2026-01-23</v>
      </c>
      <c r="F210" s="2">
        <v>149</v>
      </c>
      <c r="G210" s="3" t="s">
        <v>66</v>
      </c>
      <c r="H210" s="3" t="s">
        <v>64</v>
      </c>
      <c r="I210" s="2">
        <v>0</v>
      </c>
      <c r="J210" s="6" t="str">
        <f>_xlfn.IFNA(VLOOKUP(C210,merchants!$A$1:$D$41,2,0),"Merchant not found")</f>
        <v>Merchant_023</v>
      </c>
      <c r="K210" s="6" t="str">
        <f>_xlfn.IFNA(VLOOKUP(C210,merchants!$A$1:$D$41,3,0),"Merchant not found")</f>
        <v>travel</v>
      </c>
      <c r="L210" s="6" t="str">
        <f>_xlfn.IFNA(VLOOKUP(C210,merchants!$A$1:$D$41,4,0),"Merchant not found")</f>
        <v>North</v>
      </c>
      <c r="M210" s="9">
        <f t="shared" si="7"/>
        <v>0</v>
      </c>
      <c r="N210" s="6" t="str">
        <f>IF(AND(L210&lt;&gt;"East",SUMIFS(merchant_workbook_pivot_table!$D$2:$D$444,merchant_workbook_pivot_table!$C$2:$C$444,E210,merchant_workbook_pivot_table!$B$2:$B$444,J210)&gt;5000),"High-Value Merchant Day",IF(AND(L210&lt;&gt;"East",SUMIFS(merchant_workbook_pivot_table!$D$2:$D$444,merchant_workbook_pivot_table!$C$2:$C$444,E210,merchant_workbook_pivot_table!$B$2:$B$444,J210)&gt;1000),"Mid-Value Merchant Day",""))</f>
        <v/>
      </c>
    </row>
    <row r="211">
      <c r="A211" s="3" t="s">
        <v>278</v>
      </c>
      <c r="B211" s="2">
        <v>337</v>
      </c>
      <c r="C211" s="2">
        <v>26</v>
      </c>
      <c r="D211" s="8" t="s">
        <v>831</v>
      </c>
      <c r="E211" s="6" t="str">
        <f t="shared" si="6"/>
        <v>2026-01-06</v>
      </c>
      <c r="F211" s="2">
        <v>49</v>
      </c>
      <c r="G211" s="3" t="s">
        <v>66</v>
      </c>
      <c r="H211" s="3" t="s">
        <v>64</v>
      </c>
      <c r="I211" s="2">
        <v>8</v>
      </c>
      <c r="J211" s="6" t="str">
        <f>_xlfn.IFNA(VLOOKUP(C211,merchants!$A$1:$D$41,2,0),"Merchant not found")</f>
        <v>Merchant_026</v>
      </c>
      <c r="K211" s="6" t="str">
        <f>_xlfn.IFNA(VLOOKUP(C211,merchants!$A$1:$D$41,3,0),"Merchant not found")</f>
        <v>food_delivery</v>
      </c>
      <c r="L211" s="6" t="str">
        <f>_xlfn.IFNA(VLOOKUP(C211,merchants!$A$1:$D$41,4,0),"Merchant not found")</f>
        <v>East</v>
      </c>
      <c r="M211" s="9">
        <f t="shared" si="7"/>
        <v>0</v>
      </c>
      <c r="N211" s="6" t="str">
        <f>IF(AND(L211&lt;&gt;"East",SUMIFS(merchant_workbook_pivot_table!$D$2:$D$444,merchant_workbook_pivot_table!$C$2:$C$444,E211,merchant_workbook_pivot_table!$B$2:$B$444,J211)&gt;5000),"High-Value Merchant Day",IF(AND(L211&lt;&gt;"East",SUMIFS(merchant_workbook_pivot_table!$D$2:$D$444,merchant_workbook_pivot_table!$C$2:$C$444,E211,merchant_workbook_pivot_table!$B$2:$B$444,J211)&gt;1000),"Mid-Value Merchant Day",""))</f>
        <v/>
      </c>
    </row>
    <row r="212">
      <c r="A212" s="3" t="s">
        <v>279</v>
      </c>
      <c r="B212" s="2">
        <v>16</v>
      </c>
      <c r="C212" s="2">
        <v>6</v>
      </c>
      <c r="D212" s="8" t="s">
        <v>832</v>
      </c>
      <c r="E212" s="6" t="str">
        <f t="shared" si="6"/>
        <v>2026-01-05</v>
      </c>
      <c r="F212" s="2">
        <v>1499</v>
      </c>
      <c r="G212" s="3" t="s">
        <v>66</v>
      </c>
      <c r="H212" s="3" t="s">
        <v>64</v>
      </c>
      <c r="I212" s="2">
        <v>95</v>
      </c>
      <c r="J212" s="6" t="str">
        <f>_xlfn.IFNA(VLOOKUP(C212,merchants!$A$1:$D$41,2,0),"Merchant not found")</f>
        <v>Merchant_006</v>
      </c>
      <c r="K212" s="6" t="str">
        <f>_xlfn.IFNA(VLOOKUP(C212,merchants!$A$1:$D$41,3,0),"Merchant not found")</f>
        <v>food_delivery</v>
      </c>
      <c r="L212" s="6" t="str">
        <f>_xlfn.IFNA(VLOOKUP(C212,merchants!$A$1:$D$41,4,0),"Merchant not found")</f>
        <v>South</v>
      </c>
      <c r="M212" s="9">
        <f t="shared" si="7"/>
        <v>0</v>
      </c>
      <c r="N212" s="6" t="str">
        <f>IF(AND(L212&lt;&gt;"East",SUMIFS(merchant_workbook_pivot_table!$D$2:$D$444,merchant_workbook_pivot_table!$C$2:$C$444,E212,merchant_workbook_pivot_table!$B$2:$B$444,J212)&gt;5000),"High-Value Merchant Day",IF(AND(L212&lt;&gt;"East",SUMIFS(merchant_workbook_pivot_table!$D$2:$D$444,merchant_workbook_pivot_table!$C$2:$C$444,E212,merchant_workbook_pivot_table!$B$2:$B$444,J212)&gt;1000),"Mid-Value Merchant Day",""))</f>
        <v xml:space="preserve">Mid-Value Merchant Day</v>
      </c>
    </row>
    <row r="213">
      <c r="A213" s="3" t="s">
        <v>280</v>
      </c>
      <c r="B213" s="2">
        <v>215</v>
      </c>
      <c r="C213" s="2">
        <v>30</v>
      </c>
      <c r="D213" s="8" t="s">
        <v>833</v>
      </c>
      <c r="E213" s="6" t="str">
        <f t="shared" si="6"/>
        <v>2026-01-17</v>
      </c>
      <c r="F213" s="2">
        <v>49</v>
      </c>
      <c r="G213" s="3" t="s">
        <v>66</v>
      </c>
      <c r="H213" s="3" t="s">
        <v>64</v>
      </c>
      <c r="I213" s="2">
        <v>43</v>
      </c>
      <c r="J213" s="6" t="str">
        <f>_xlfn.IFNA(VLOOKUP(C213,merchants!$A$1:$D$41,2,0),"Merchant not found")</f>
        <v>Merchant_030</v>
      </c>
      <c r="K213" s="6" t="str">
        <f>_xlfn.IFNA(VLOOKUP(C213,merchants!$A$1:$D$41,3,0),"Merchant not found")</f>
        <v>travel</v>
      </c>
      <c r="L213" s="6" t="str">
        <f>_xlfn.IFNA(VLOOKUP(C213,merchants!$A$1:$D$41,4,0),"Merchant not found")</f>
        <v>West</v>
      </c>
      <c r="M213" s="9">
        <f t="shared" si="7"/>
        <v>0</v>
      </c>
      <c r="N213" s="6" t="str">
        <f>IF(AND(L213&lt;&gt;"East",SUMIFS(merchant_workbook_pivot_table!$D$2:$D$444,merchant_workbook_pivot_table!$C$2:$C$444,E213,merchant_workbook_pivot_table!$B$2:$B$444,J213)&gt;5000),"High-Value Merchant Day",IF(AND(L213&lt;&gt;"East",SUMIFS(merchant_workbook_pivot_table!$D$2:$D$444,merchant_workbook_pivot_table!$C$2:$C$444,E213,merchant_workbook_pivot_table!$B$2:$B$444,J213)&gt;1000),"Mid-Value Merchant Day",""))</f>
        <v/>
      </c>
    </row>
    <row r="214">
      <c r="A214" s="3" t="s">
        <v>281</v>
      </c>
      <c r="B214" s="2">
        <v>167</v>
      </c>
      <c r="C214" s="2">
        <v>37</v>
      </c>
      <c r="D214" s="8" t="s">
        <v>834</v>
      </c>
      <c r="E214" s="6" t="str">
        <f t="shared" si="6"/>
        <v>2026-01-06</v>
      </c>
      <c r="F214" s="2">
        <v>99</v>
      </c>
      <c r="G214" s="3" t="s">
        <v>66</v>
      </c>
      <c r="H214" s="3" t="s">
        <v>64</v>
      </c>
      <c r="I214" s="2">
        <v>76</v>
      </c>
      <c r="J214" s="6" t="str">
        <f>_xlfn.IFNA(VLOOKUP(C214,merchants!$A$1:$D$41,2,0),"Merchant not found")</f>
        <v>Merchant_037</v>
      </c>
      <c r="K214" s="6" t="str">
        <f>_xlfn.IFNA(VLOOKUP(C214,merchants!$A$1:$D$41,3,0),"Merchant not found")</f>
        <v>entertainment</v>
      </c>
      <c r="L214" s="6" t="str">
        <f>_xlfn.IFNA(VLOOKUP(C214,merchants!$A$1:$D$41,4,0),"Merchant not found")</f>
        <v>South</v>
      </c>
      <c r="M214" s="9">
        <f t="shared" si="7"/>
        <v>0</v>
      </c>
      <c r="N214" s="6" t="str">
        <f>IF(AND(L214&lt;&gt;"East",SUMIFS(merchant_workbook_pivot_table!$D$2:$D$444,merchant_workbook_pivot_table!$C$2:$C$444,E214,merchant_workbook_pivot_table!$B$2:$B$444,J214)&gt;5000),"High-Value Merchant Day",IF(AND(L214&lt;&gt;"East",SUMIFS(merchant_workbook_pivot_table!$D$2:$D$444,merchant_workbook_pivot_table!$C$2:$C$444,E214,merchant_workbook_pivot_table!$B$2:$B$444,J214)&gt;1000),"Mid-Value Merchant Day",""))</f>
        <v/>
      </c>
    </row>
    <row r="215">
      <c r="A215" s="3" t="s">
        <v>282</v>
      </c>
      <c r="B215" s="2">
        <v>81</v>
      </c>
      <c r="C215" s="2">
        <v>40</v>
      </c>
      <c r="D215" s="8" t="s">
        <v>835</v>
      </c>
      <c r="E215" s="6" t="str">
        <f t="shared" si="6"/>
        <v>2026-01-03</v>
      </c>
      <c r="F215" s="2">
        <v>49</v>
      </c>
      <c r="G215" s="3" t="s">
        <v>66</v>
      </c>
      <c r="H215" s="3" t="s">
        <v>64</v>
      </c>
      <c r="I215" s="2">
        <v>6</v>
      </c>
      <c r="J215" s="6" t="str">
        <f>_xlfn.IFNA(VLOOKUP(C215,merchants!$A$1:$D$41,2,0),"Merchant not found")</f>
        <v>Merchant_040</v>
      </c>
      <c r="K215" s="6" t="str">
        <f>_xlfn.IFNA(VLOOKUP(C215,merchants!$A$1:$D$41,3,0),"Merchant not found")</f>
        <v>entertainment</v>
      </c>
      <c r="L215" s="6" t="str">
        <f>_xlfn.IFNA(VLOOKUP(C215,merchants!$A$1:$D$41,4,0),"Merchant not found")</f>
        <v>South</v>
      </c>
      <c r="M215" s="9">
        <f t="shared" si="7"/>
        <v>0</v>
      </c>
      <c r="N215" s="6" t="str">
        <f>IF(AND(L215&lt;&gt;"East",SUMIFS(merchant_workbook_pivot_table!$D$2:$D$444,merchant_workbook_pivot_table!$C$2:$C$444,E215,merchant_workbook_pivot_table!$B$2:$B$444,J215)&gt;5000),"High-Value Merchant Day",IF(AND(L215&lt;&gt;"East",SUMIFS(merchant_workbook_pivot_table!$D$2:$D$444,merchant_workbook_pivot_table!$C$2:$C$444,E215,merchant_workbook_pivot_table!$B$2:$B$444,J215)&gt;1000),"Mid-Value Merchant Day",""))</f>
        <v/>
      </c>
    </row>
    <row r="216">
      <c r="A216" s="3" t="s">
        <v>283</v>
      </c>
      <c r="B216" s="2">
        <v>227</v>
      </c>
      <c r="C216" s="2">
        <v>28</v>
      </c>
      <c r="D216" s="8" t="s">
        <v>836</v>
      </c>
      <c r="E216" s="6" t="str">
        <f t="shared" si="6"/>
        <v>2026-01-22</v>
      </c>
      <c r="F216" s="2">
        <v>99</v>
      </c>
      <c r="G216" s="3" t="s">
        <v>66</v>
      </c>
      <c r="H216" s="3" t="s">
        <v>64</v>
      </c>
      <c r="I216" s="2">
        <v>62</v>
      </c>
      <c r="J216" s="6" t="str">
        <f>_xlfn.IFNA(VLOOKUP(C216,merchants!$A$1:$D$41,2,0),"Merchant not found")</f>
        <v>Merchant_028</v>
      </c>
      <c r="K216" s="6" t="str">
        <f>_xlfn.IFNA(VLOOKUP(C216,merchants!$A$1:$D$41,3,0),"Merchant not found")</f>
        <v>ecommerce</v>
      </c>
      <c r="L216" s="6" t="str">
        <f>_xlfn.IFNA(VLOOKUP(C216,merchants!$A$1:$D$41,4,0),"Merchant not found")</f>
        <v>South</v>
      </c>
      <c r="M216" s="9">
        <f t="shared" si="7"/>
        <v>0</v>
      </c>
      <c r="N216" s="6" t="str">
        <f>IF(AND(L216&lt;&gt;"East",SUMIFS(merchant_workbook_pivot_table!$D$2:$D$444,merchant_workbook_pivot_table!$C$2:$C$444,E216,merchant_workbook_pivot_table!$B$2:$B$444,J216)&gt;5000),"High-Value Merchant Day",IF(AND(L216&lt;&gt;"East",SUMIFS(merchant_workbook_pivot_table!$D$2:$D$444,merchant_workbook_pivot_table!$C$2:$C$444,E216,merchant_workbook_pivot_table!$B$2:$B$444,J216)&gt;1000),"Mid-Value Merchant Day",""))</f>
        <v/>
      </c>
    </row>
    <row r="217">
      <c r="A217" s="3" t="s">
        <v>284</v>
      </c>
      <c r="B217" s="2">
        <v>140</v>
      </c>
      <c r="C217" s="2">
        <v>14</v>
      </c>
      <c r="D217" s="8" t="s">
        <v>837</v>
      </c>
      <c r="E217" s="6" t="str">
        <f t="shared" si="6"/>
        <v>2026-01-20</v>
      </c>
      <c r="F217" s="2">
        <v>299</v>
      </c>
      <c r="G217" s="3" t="s">
        <v>63</v>
      </c>
      <c r="H217" s="3" t="s">
        <v>64</v>
      </c>
      <c r="I217" s="2">
        <v>96</v>
      </c>
      <c r="J217" s="6" t="str">
        <f>_xlfn.IFNA(VLOOKUP(C217,merchants!$A$1:$D$41,2,0),"Merchant not found")</f>
        <v>Merchant_014</v>
      </c>
      <c r="K217" s="6" t="str">
        <f>_xlfn.IFNA(VLOOKUP(C217,merchants!$A$1:$D$41,3,0),"Merchant not found")</f>
        <v>grocery</v>
      </c>
      <c r="L217" s="6" t="str">
        <f>_xlfn.IFNA(VLOOKUP(C217,merchants!$A$1:$D$41,4,0),"Merchant not found")</f>
        <v>East</v>
      </c>
      <c r="M217" s="9">
        <f t="shared" si="7"/>
        <v>4.4849999999999994</v>
      </c>
      <c r="N217" s="6" t="str">
        <f>IF(AND(L217&lt;&gt;"East",SUMIFS(merchant_workbook_pivot_table!$D$2:$D$444,merchant_workbook_pivot_table!$C$2:$C$444,E217,merchant_workbook_pivot_table!$B$2:$B$444,J217)&gt;5000),"High-Value Merchant Day",IF(AND(L217&lt;&gt;"East",SUMIFS(merchant_workbook_pivot_table!$D$2:$D$444,merchant_workbook_pivot_table!$C$2:$C$444,E217,merchant_workbook_pivot_table!$B$2:$B$444,J217)&gt;1000),"Mid-Value Merchant Day",""))</f>
        <v/>
      </c>
    </row>
    <row r="218">
      <c r="A218" s="3" t="s">
        <v>285</v>
      </c>
      <c r="B218" s="2">
        <v>221</v>
      </c>
      <c r="C218" s="2">
        <v>8</v>
      </c>
      <c r="D218" s="8" t="s">
        <v>838</v>
      </c>
      <c r="E218" s="6" t="str">
        <f t="shared" si="6"/>
        <v>2026-01-17</v>
      </c>
      <c r="F218" s="2">
        <v>299</v>
      </c>
      <c r="G218" s="3" t="s">
        <v>66</v>
      </c>
      <c r="H218" s="3" t="s">
        <v>64</v>
      </c>
      <c r="I218" s="2">
        <v>36</v>
      </c>
      <c r="J218" s="6" t="str">
        <f>_xlfn.IFNA(VLOOKUP(C218,merchants!$A$1:$D$41,2,0),"Merchant not found")</f>
        <v>Merchant_008</v>
      </c>
      <c r="K218" s="6" t="str">
        <f>_xlfn.IFNA(VLOOKUP(C218,merchants!$A$1:$D$41,3,0),"Merchant not found")</f>
        <v>food_delivery</v>
      </c>
      <c r="L218" s="6" t="str">
        <f>_xlfn.IFNA(VLOOKUP(C218,merchants!$A$1:$D$41,4,0),"Merchant not found")</f>
        <v>North</v>
      </c>
      <c r="M218" s="9">
        <f t="shared" si="7"/>
        <v>0</v>
      </c>
      <c r="N218" s="6" t="str">
        <f>IF(AND(L218&lt;&gt;"East",SUMIFS(merchant_workbook_pivot_table!$D$2:$D$444,merchant_workbook_pivot_table!$C$2:$C$444,E218,merchant_workbook_pivot_table!$B$2:$B$444,J218)&gt;5000),"High-Value Merchant Day",IF(AND(L218&lt;&gt;"East",SUMIFS(merchant_workbook_pivot_table!$D$2:$D$444,merchant_workbook_pivot_table!$C$2:$C$444,E218,merchant_workbook_pivot_table!$B$2:$B$444,J218)&gt;1000),"Mid-Value Merchant Day",""))</f>
        <v/>
      </c>
    </row>
    <row r="219">
      <c r="A219" s="3" t="s">
        <v>286</v>
      </c>
      <c r="B219" s="2">
        <v>250</v>
      </c>
      <c r="C219" s="2">
        <v>34</v>
      </c>
      <c r="D219" s="8" t="s">
        <v>839</v>
      </c>
      <c r="E219" s="6" t="str">
        <f t="shared" si="6"/>
        <v>2026-01-22</v>
      </c>
      <c r="F219" s="2">
        <v>299</v>
      </c>
      <c r="G219" s="3" t="s">
        <v>63</v>
      </c>
      <c r="H219" s="3" t="s">
        <v>64</v>
      </c>
      <c r="I219" s="2">
        <v>85</v>
      </c>
      <c r="J219" s="6" t="str">
        <f>_xlfn.IFNA(VLOOKUP(C219,merchants!$A$1:$D$41,2,0),"Merchant not found")</f>
        <v>Merchant_034</v>
      </c>
      <c r="K219" s="6" t="str">
        <f>_xlfn.IFNA(VLOOKUP(C219,merchants!$A$1:$D$41,3,0),"Merchant not found")</f>
        <v>travel</v>
      </c>
      <c r="L219" s="6" t="str">
        <f>_xlfn.IFNA(VLOOKUP(C219,merchants!$A$1:$D$41,4,0),"Merchant not found")</f>
        <v>South</v>
      </c>
      <c r="M219" s="9">
        <f t="shared" si="7"/>
        <v>4.4849999999999994</v>
      </c>
      <c r="N219" s="6" t="str">
        <f>IF(AND(L219&lt;&gt;"East",SUMIFS(merchant_workbook_pivot_table!$D$2:$D$444,merchant_workbook_pivot_table!$C$2:$C$444,E219,merchant_workbook_pivot_table!$B$2:$B$444,J219)&gt;5000),"High-Value Merchant Day",IF(AND(L219&lt;&gt;"East",SUMIFS(merchant_workbook_pivot_table!$D$2:$D$444,merchant_workbook_pivot_table!$C$2:$C$444,E219,merchant_workbook_pivot_table!$B$2:$B$444,J219)&gt;1000),"Mid-Value Merchant Day",""))</f>
        <v/>
      </c>
    </row>
    <row r="220">
      <c r="A220" s="3" t="s">
        <v>287</v>
      </c>
      <c r="B220" s="2">
        <v>203</v>
      </c>
      <c r="C220" s="2">
        <v>39</v>
      </c>
      <c r="D220" s="8" t="s">
        <v>840</v>
      </c>
      <c r="E220" s="6" t="str">
        <f t="shared" si="6"/>
        <v>2026-01-10</v>
      </c>
      <c r="F220" s="2">
        <v>49</v>
      </c>
      <c r="G220" s="3" t="s">
        <v>66</v>
      </c>
      <c r="H220" s="3" t="s">
        <v>64</v>
      </c>
      <c r="I220" s="2">
        <v>7</v>
      </c>
      <c r="J220" s="6" t="str">
        <f>_xlfn.IFNA(VLOOKUP(C220,merchants!$A$1:$D$41,2,0),"Merchant not found")</f>
        <v>Merchant_039</v>
      </c>
      <c r="K220" s="6" t="str">
        <f>_xlfn.IFNA(VLOOKUP(C220,merchants!$A$1:$D$41,3,0),"Merchant not found")</f>
        <v>entertainment</v>
      </c>
      <c r="L220" s="6" t="str">
        <f>_xlfn.IFNA(VLOOKUP(C220,merchants!$A$1:$D$41,4,0),"Merchant not found")</f>
        <v>North</v>
      </c>
      <c r="M220" s="9">
        <f t="shared" si="7"/>
        <v>0</v>
      </c>
      <c r="N220" s="6" t="str">
        <f>IF(AND(L220&lt;&gt;"East",SUMIFS(merchant_workbook_pivot_table!$D$2:$D$444,merchant_workbook_pivot_table!$C$2:$C$444,E220,merchant_workbook_pivot_table!$B$2:$B$444,J220)&gt;5000),"High-Value Merchant Day",IF(AND(L220&lt;&gt;"East",SUMIFS(merchant_workbook_pivot_table!$D$2:$D$444,merchant_workbook_pivot_table!$C$2:$C$444,E220,merchant_workbook_pivot_table!$B$2:$B$444,J220)&gt;1000),"Mid-Value Merchant Day",""))</f>
        <v/>
      </c>
    </row>
    <row r="221">
      <c r="A221" s="3" t="s">
        <v>288</v>
      </c>
      <c r="B221" s="2">
        <v>109</v>
      </c>
      <c r="C221" s="2">
        <v>9</v>
      </c>
      <c r="D221" s="8" t="s">
        <v>841</v>
      </c>
      <c r="E221" s="6" t="str">
        <f t="shared" si="6"/>
        <v>2026-01-01</v>
      </c>
      <c r="F221" s="2">
        <v>499</v>
      </c>
      <c r="G221" s="3" t="s">
        <v>63</v>
      </c>
      <c r="H221" s="3" t="s">
        <v>64</v>
      </c>
      <c r="I221" s="2">
        <v>97</v>
      </c>
      <c r="J221" s="6" t="str">
        <f>_xlfn.IFNA(VLOOKUP(C221,merchants!$A$1:$D$41,2,0),"Merchant not found")</f>
        <v>Merchant_009</v>
      </c>
      <c r="K221" s="6" t="str">
        <f>_xlfn.IFNA(VLOOKUP(C221,merchants!$A$1:$D$41,3,0),"Merchant not found")</f>
        <v>ecommerce</v>
      </c>
      <c r="L221" s="6" t="str">
        <f>_xlfn.IFNA(VLOOKUP(C221,merchants!$A$1:$D$41,4,0),"Merchant not found")</f>
        <v>North</v>
      </c>
      <c r="M221" s="9">
        <f t="shared" si="7"/>
        <v>7.4849999999999994</v>
      </c>
      <c r="N221" s="6" t="str">
        <f>IF(AND(L221&lt;&gt;"East",SUMIFS(merchant_workbook_pivot_table!$D$2:$D$444,merchant_workbook_pivot_table!$C$2:$C$444,E221,merchant_workbook_pivot_table!$B$2:$B$444,J221)&gt;5000),"High-Value Merchant Day",IF(AND(L221&lt;&gt;"East",SUMIFS(merchant_workbook_pivot_table!$D$2:$D$444,merchant_workbook_pivot_table!$C$2:$C$444,E221,merchant_workbook_pivot_table!$B$2:$B$444,J221)&gt;1000),"Mid-Value Merchant Day",""))</f>
        <v/>
      </c>
    </row>
    <row r="222">
      <c r="A222" s="3" t="s">
        <v>289</v>
      </c>
      <c r="B222" s="2">
        <v>62</v>
      </c>
      <c r="C222" s="2">
        <v>1</v>
      </c>
      <c r="D222" s="8" t="s">
        <v>842</v>
      </c>
      <c r="E222" s="6" t="str">
        <f t="shared" si="6"/>
        <v>2026-01-09</v>
      </c>
      <c r="F222" s="2">
        <v>4999</v>
      </c>
      <c r="G222" s="3" t="s">
        <v>63</v>
      </c>
      <c r="H222" s="3" t="s">
        <v>64</v>
      </c>
      <c r="I222" s="2">
        <v>63</v>
      </c>
      <c r="J222" s="6" t="str">
        <f>_xlfn.IFNA(VLOOKUP(C222,merchants!$A$1:$D$41,2,0),"Merchant not found")</f>
        <v>Merchant_001</v>
      </c>
      <c r="K222" s="6" t="str">
        <f>_xlfn.IFNA(VLOOKUP(C222,merchants!$A$1:$D$41,3,0),"Merchant not found")</f>
        <v>ecommerce</v>
      </c>
      <c r="L222" s="6" t="str">
        <f>_xlfn.IFNA(VLOOKUP(C222,merchants!$A$1:$D$41,4,0),"Merchant not found")</f>
        <v>South</v>
      </c>
      <c r="M222" s="9">
        <f t="shared" si="7"/>
        <v>74.984999999999999</v>
      </c>
      <c r="N222" s="6" t="str">
        <f>IF(AND(L222&lt;&gt;"East",SUMIFS(merchant_workbook_pivot_table!$D$2:$D$444,merchant_workbook_pivot_table!$C$2:$C$444,E222,merchant_workbook_pivot_table!$B$2:$B$444,J222)&gt;5000),"High-Value Merchant Day",IF(AND(L222&lt;&gt;"East",SUMIFS(merchant_workbook_pivot_table!$D$2:$D$444,merchant_workbook_pivot_table!$C$2:$C$444,E222,merchant_workbook_pivot_table!$B$2:$B$444,J222)&gt;1000),"Mid-Value Merchant Day",""))</f>
        <v xml:space="preserve">High-Value Merchant Day</v>
      </c>
    </row>
    <row r="223">
      <c r="A223" s="3" t="s">
        <v>290</v>
      </c>
      <c r="B223" s="2">
        <v>67</v>
      </c>
      <c r="C223" s="2">
        <v>25</v>
      </c>
      <c r="D223" s="8" t="s">
        <v>843</v>
      </c>
      <c r="E223" s="6" t="str">
        <f t="shared" si="6"/>
        <v>2026-01-24</v>
      </c>
      <c r="F223" s="2">
        <v>49</v>
      </c>
      <c r="G223" s="3" t="s">
        <v>66</v>
      </c>
      <c r="H223" s="3" t="s">
        <v>64</v>
      </c>
      <c r="I223" s="2">
        <v>68</v>
      </c>
      <c r="J223" s="6" t="str">
        <f>_xlfn.IFNA(VLOOKUP(C223,merchants!$A$1:$D$41,2,0),"Merchant not found")</f>
        <v>Merchant_025</v>
      </c>
      <c r="K223" s="6" t="str">
        <f>_xlfn.IFNA(VLOOKUP(C223,merchants!$A$1:$D$41,3,0),"Merchant not found")</f>
        <v>travel</v>
      </c>
      <c r="L223" s="6" t="str">
        <f>_xlfn.IFNA(VLOOKUP(C223,merchants!$A$1:$D$41,4,0),"Merchant not found")</f>
        <v>South</v>
      </c>
      <c r="M223" s="9">
        <f t="shared" si="7"/>
        <v>0</v>
      </c>
      <c r="N223" s="6" t="str">
        <f>IF(AND(L223&lt;&gt;"East",SUMIFS(merchant_workbook_pivot_table!$D$2:$D$444,merchant_workbook_pivot_table!$C$2:$C$444,E223,merchant_workbook_pivot_table!$B$2:$B$444,J223)&gt;5000),"High-Value Merchant Day",IF(AND(L223&lt;&gt;"East",SUMIFS(merchant_workbook_pivot_table!$D$2:$D$444,merchant_workbook_pivot_table!$C$2:$C$444,E223,merchant_workbook_pivot_table!$B$2:$B$444,J223)&gt;1000),"Mid-Value Merchant Day",""))</f>
        <v/>
      </c>
    </row>
    <row r="224">
      <c r="A224" s="3" t="s">
        <v>291</v>
      </c>
      <c r="B224" s="2">
        <v>287</v>
      </c>
      <c r="C224" s="2">
        <v>23</v>
      </c>
      <c r="D224" s="8" t="s">
        <v>844</v>
      </c>
      <c r="E224" s="6" t="str">
        <f t="shared" si="6"/>
        <v>2026-01-23</v>
      </c>
      <c r="F224" s="2">
        <v>49</v>
      </c>
      <c r="G224" s="3" t="s">
        <v>66</v>
      </c>
      <c r="H224" s="3" t="s">
        <v>64</v>
      </c>
      <c r="I224" s="2">
        <v>9</v>
      </c>
      <c r="J224" s="6" t="str">
        <f>_xlfn.IFNA(VLOOKUP(C224,merchants!$A$1:$D$41,2,0),"Merchant not found")</f>
        <v>Merchant_023</v>
      </c>
      <c r="K224" s="6" t="str">
        <f>_xlfn.IFNA(VLOOKUP(C224,merchants!$A$1:$D$41,3,0),"Merchant not found")</f>
        <v>travel</v>
      </c>
      <c r="L224" s="6" t="str">
        <f>_xlfn.IFNA(VLOOKUP(C224,merchants!$A$1:$D$41,4,0),"Merchant not found")</f>
        <v>North</v>
      </c>
      <c r="M224" s="9">
        <f t="shared" si="7"/>
        <v>0</v>
      </c>
      <c r="N224" s="6" t="str">
        <f>IF(AND(L224&lt;&gt;"East",SUMIFS(merchant_workbook_pivot_table!$D$2:$D$444,merchant_workbook_pivot_table!$C$2:$C$444,E224,merchant_workbook_pivot_table!$B$2:$B$444,J224)&gt;5000),"High-Value Merchant Day",IF(AND(L224&lt;&gt;"East",SUMIFS(merchant_workbook_pivot_table!$D$2:$D$444,merchant_workbook_pivot_table!$C$2:$C$444,E224,merchant_workbook_pivot_table!$B$2:$B$444,J224)&gt;1000),"Mid-Value Merchant Day",""))</f>
        <v/>
      </c>
    </row>
    <row r="225">
      <c r="A225" s="3" t="s">
        <v>292</v>
      </c>
      <c r="B225" s="2">
        <v>224</v>
      </c>
      <c r="C225" s="2">
        <v>2</v>
      </c>
      <c r="D225" s="8" t="s">
        <v>845</v>
      </c>
      <c r="E225" s="6" t="str">
        <f t="shared" si="6"/>
        <v>2026-01-13</v>
      </c>
      <c r="F225" s="2">
        <v>49</v>
      </c>
      <c r="G225" s="3" t="s">
        <v>78</v>
      </c>
      <c r="H225" s="3" t="s">
        <v>64</v>
      </c>
      <c r="I225" s="2">
        <v>58</v>
      </c>
      <c r="J225" s="6" t="str">
        <f>_xlfn.IFNA(VLOOKUP(C225,merchants!$A$1:$D$41,2,0),"Merchant not found")</f>
        <v>Merchant_002</v>
      </c>
      <c r="K225" s="6" t="str">
        <f>_xlfn.IFNA(VLOOKUP(C225,merchants!$A$1:$D$41,3,0),"Merchant not found")</f>
        <v>grocery</v>
      </c>
      <c r="L225" s="6" t="str">
        <f>_xlfn.IFNA(VLOOKUP(C225,merchants!$A$1:$D$41,4,0),"Merchant not found")</f>
        <v>West</v>
      </c>
      <c r="M225" s="9">
        <f t="shared" si="7"/>
        <v>0.97999999999999998</v>
      </c>
      <c r="N225" s="6" t="str">
        <f>IF(AND(L225&lt;&gt;"East",SUMIFS(merchant_workbook_pivot_table!$D$2:$D$444,merchant_workbook_pivot_table!$C$2:$C$444,E225,merchant_workbook_pivot_table!$B$2:$B$444,J225)&gt;5000),"High-Value Merchant Day",IF(AND(L225&lt;&gt;"East",SUMIFS(merchant_workbook_pivot_table!$D$2:$D$444,merchant_workbook_pivot_table!$C$2:$C$444,E225,merchant_workbook_pivot_table!$B$2:$B$444,J225)&gt;1000),"Mid-Value Merchant Day",""))</f>
        <v/>
      </c>
    </row>
    <row r="226">
      <c r="A226" s="3" t="s">
        <v>293</v>
      </c>
      <c r="B226" s="2">
        <v>161</v>
      </c>
      <c r="C226" s="2">
        <v>37</v>
      </c>
      <c r="D226" s="8" t="s">
        <v>846</v>
      </c>
      <c r="E226" s="6" t="str">
        <f t="shared" si="6"/>
        <v>2026-01-30</v>
      </c>
      <c r="F226" s="2">
        <v>299</v>
      </c>
      <c r="G226" s="3" t="s">
        <v>66</v>
      </c>
      <c r="H226" s="3" t="s">
        <v>64</v>
      </c>
      <c r="I226" s="2">
        <v>54</v>
      </c>
      <c r="J226" s="6" t="str">
        <f>_xlfn.IFNA(VLOOKUP(C226,merchants!$A$1:$D$41,2,0),"Merchant not found")</f>
        <v>Merchant_037</v>
      </c>
      <c r="K226" s="6" t="str">
        <f>_xlfn.IFNA(VLOOKUP(C226,merchants!$A$1:$D$41,3,0),"Merchant not found")</f>
        <v>entertainment</v>
      </c>
      <c r="L226" s="6" t="str">
        <f>_xlfn.IFNA(VLOOKUP(C226,merchants!$A$1:$D$41,4,0),"Merchant not found")</f>
        <v>South</v>
      </c>
      <c r="M226" s="9">
        <f t="shared" si="7"/>
        <v>0</v>
      </c>
      <c r="N226" s="6" t="str">
        <f>IF(AND(L226&lt;&gt;"East",SUMIFS(merchant_workbook_pivot_table!$D$2:$D$444,merchant_workbook_pivot_table!$C$2:$C$444,E226,merchant_workbook_pivot_table!$B$2:$B$444,J226)&gt;5000),"High-Value Merchant Day",IF(AND(L226&lt;&gt;"East",SUMIFS(merchant_workbook_pivot_table!$D$2:$D$444,merchant_workbook_pivot_table!$C$2:$C$444,E226,merchant_workbook_pivot_table!$B$2:$B$444,J226)&gt;1000),"Mid-Value Merchant Day",""))</f>
        <v/>
      </c>
    </row>
    <row r="227">
      <c r="A227" s="3" t="s">
        <v>294</v>
      </c>
      <c r="B227" s="2">
        <v>328</v>
      </c>
      <c r="C227" s="2">
        <v>27</v>
      </c>
      <c r="D227" s="8" t="s">
        <v>847</v>
      </c>
      <c r="E227" s="6" t="str">
        <f t="shared" si="6"/>
        <v>2026-01-19</v>
      </c>
      <c r="F227" s="2">
        <v>49</v>
      </c>
      <c r="G227" s="3" t="s">
        <v>66</v>
      </c>
      <c r="H227" s="3" t="s">
        <v>92</v>
      </c>
      <c r="I227" s="2">
        <v>37</v>
      </c>
      <c r="J227" s="6" t="str">
        <f>_xlfn.IFNA(VLOOKUP(C227,merchants!$A$1:$D$41,2,0),"Merchant not found")</f>
        <v>Merchant_027</v>
      </c>
      <c r="K227" s="6" t="str">
        <f>_xlfn.IFNA(VLOOKUP(C227,merchants!$A$1:$D$41,3,0),"Merchant not found")</f>
        <v>ecommerce</v>
      </c>
      <c r="L227" s="6" t="str">
        <f>_xlfn.IFNA(VLOOKUP(C227,merchants!$A$1:$D$41,4,0),"Merchant not found")</f>
        <v>North</v>
      </c>
      <c r="M227" s="9">
        <f t="shared" si="7"/>
        <v>0</v>
      </c>
      <c r="N227" s="6" t="str">
        <f>IF(AND(L227&lt;&gt;"East",SUMIFS(merchant_workbook_pivot_table!$D$2:$D$444,merchant_workbook_pivot_table!$C$2:$C$444,E227,merchant_workbook_pivot_table!$B$2:$B$444,J227)&gt;5000),"High-Value Merchant Day",IF(AND(L227&lt;&gt;"East",SUMIFS(merchant_workbook_pivot_table!$D$2:$D$444,merchant_workbook_pivot_table!$C$2:$C$444,E227,merchant_workbook_pivot_table!$B$2:$B$444,J227)&gt;1000),"Mid-Value Merchant Day",""))</f>
        <v/>
      </c>
    </row>
    <row r="228">
      <c r="A228" s="3" t="s">
        <v>295</v>
      </c>
      <c r="B228" s="2">
        <v>167</v>
      </c>
      <c r="C228" s="2">
        <v>11</v>
      </c>
      <c r="D228" s="8" t="s">
        <v>848</v>
      </c>
      <c r="E228" s="6" t="str">
        <f t="shared" si="6"/>
        <v>2026-01-04</v>
      </c>
      <c r="F228" s="2">
        <v>1499</v>
      </c>
      <c r="G228" s="3" t="s">
        <v>78</v>
      </c>
      <c r="H228" s="3" t="s">
        <v>79</v>
      </c>
      <c r="I228" s="2">
        <v>79</v>
      </c>
      <c r="J228" s="6" t="str">
        <f>_xlfn.IFNA(VLOOKUP(C228,merchants!$A$1:$D$41,2,0),"Merchant not found")</f>
        <v>Merchant_011</v>
      </c>
      <c r="K228" s="6" t="str">
        <f>_xlfn.IFNA(VLOOKUP(C228,merchants!$A$1:$D$41,3,0),"Merchant not found")</f>
        <v>ecommerce</v>
      </c>
      <c r="L228" s="6" t="str">
        <f>_xlfn.IFNA(VLOOKUP(C228,merchants!$A$1:$D$41,4,0),"Merchant not found")</f>
        <v>North</v>
      </c>
      <c r="M228" s="9">
        <f t="shared" si="7"/>
        <v>29.98</v>
      </c>
      <c r="N228" s="6" t="str">
        <f>IF(AND(L228&lt;&gt;"East",SUMIFS(merchant_workbook_pivot_table!$D$2:$D$444,merchant_workbook_pivot_table!$C$2:$C$444,E228,merchant_workbook_pivot_table!$B$2:$B$444,J228)&gt;5000),"High-Value Merchant Day",IF(AND(L228&lt;&gt;"East",SUMIFS(merchant_workbook_pivot_table!$D$2:$D$444,merchant_workbook_pivot_table!$C$2:$C$444,E228,merchant_workbook_pivot_table!$B$2:$B$444,J228)&gt;1000),"Mid-Value Merchant Day",""))</f>
        <v xml:space="preserve">Mid-Value Merchant Day</v>
      </c>
    </row>
    <row r="229">
      <c r="A229" s="3" t="s">
        <v>296</v>
      </c>
      <c r="B229" s="2">
        <v>186</v>
      </c>
      <c r="C229" s="2">
        <v>6</v>
      </c>
      <c r="D229" s="8" t="s">
        <v>849</v>
      </c>
      <c r="E229" s="6" t="str">
        <f t="shared" si="6"/>
        <v>2026-01-15</v>
      </c>
      <c r="F229" s="2">
        <v>49</v>
      </c>
      <c r="G229" s="3" t="s">
        <v>63</v>
      </c>
      <c r="H229" s="3" t="s">
        <v>64</v>
      </c>
      <c r="I229" s="2">
        <v>55</v>
      </c>
      <c r="J229" s="6" t="str">
        <f>_xlfn.IFNA(VLOOKUP(C229,merchants!$A$1:$D$41,2,0),"Merchant not found")</f>
        <v>Merchant_006</v>
      </c>
      <c r="K229" s="6" t="str">
        <f>_xlfn.IFNA(VLOOKUP(C229,merchants!$A$1:$D$41,3,0),"Merchant not found")</f>
        <v>food_delivery</v>
      </c>
      <c r="L229" s="6" t="str">
        <f>_xlfn.IFNA(VLOOKUP(C229,merchants!$A$1:$D$41,4,0),"Merchant not found")</f>
        <v>South</v>
      </c>
      <c r="M229" s="9">
        <f t="shared" si="7"/>
        <v>0.73499999999999999</v>
      </c>
      <c r="N229" s="6" t="str">
        <f>IF(AND(L229&lt;&gt;"East",SUMIFS(merchant_workbook_pivot_table!$D$2:$D$444,merchant_workbook_pivot_table!$C$2:$C$444,E229,merchant_workbook_pivot_table!$B$2:$B$444,J229)&gt;5000),"High-Value Merchant Day",IF(AND(L229&lt;&gt;"East",SUMIFS(merchant_workbook_pivot_table!$D$2:$D$444,merchant_workbook_pivot_table!$C$2:$C$444,E229,merchant_workbook_pivot_table!$B$2:$B$444,J229)&gt;1000),"Mid-Value Merchant Day",""))</f>
        <v/>
      </c>
    </row>
    <row r="230">
      <c r="A230" s="3" t="s">
        <v>297</v>
      </c>
      <c r="B230" s="2">
        <v>224</v>
      </c>
      <c r="C230" s="2">
        <v>38</v>
      </c>
      <c r="D230" s="8" t="s">
        <v>850</v>
      </c>
      <c r="E230" s="6" t="str">
        <f t="shared" si="6"/>
        <v>2026-01-28</v>
      </c>
      <c r="F230" s="2">
        <v>299</v>
      </c>
      <c r="G230" s="3" t="s">
        <v>63</v>
      </c>
      <c r="H230" s="3" t="s">
        <v>79</v>
      </c>
      <c r="I230" s="2">
        <v>51</v>
      </c>
      <c r="J230" s="6" t="str">
        <f>_xlfn.IFNA(VLOOKUP(C230,merchants!$A$1:$D$41,2,0),"Merchant not found")</f>
        <v>Merchant_038</v>
      </c>
      <c r="K230" s="6" t="str">
        <f>_xlfn.IFNA(VLOOKUP(C230,merchants!$A$1:$D$41,3,0),"Merchant not found")</f>
        <v>grocery</v>
      </c>
      <c r="L230" s="6" t="str">
        <f>_xlfn.IFNA(VLOOKUP(C230,merchants!$A$1:$D$41,4,0),"Merchant not found")</f>
        <v>East</v>
      </c>
      <c r="M230" s="9">
        <f t="shared" si="7"/>
        <v>4.4849999999999994</v>
      </c>
      <c r="N230" s="6" t="str">
        <f>IF(AND(L230&lt;&gt;"East",SUMIFS(merchant_workbook_pivot_table!$D$2:$D$444,merchant_workbook_pivot_table!$C$2:$C$444,E230,merchant_workbook_pivot_table!$B$2:$B$444,J230)&gt;5000),"High-Value Merchant Day",IF(AND(L230&lt;&gt;"East",SUMIFS(merchant_workbook_pivot_table!$D$2:$D$444,merchant_workbook_pivot_table!$C$2:$C$444,E230,merchant_workbook_pivot_table!$B$2:$B$444,J230)&gt;1000),"Mid-Value Merchant Day",""))</f>
        <v/>
      </c>
    </row>
    <row r="231">
      <c r="A231" s="3" t="s">
        <v>298</v>
      </c>
      <c r="B231" s="2">
        <v>159</v>
      </c>
      <c r="C231" s="2">
        <v>22</v>
      </c>
      <c r="D231" s="8" t="s">
        <v>851</v>
      </c>
      <c r="E231" s="6" t="str">
        <f t="shared" si="6"/>
        <v>2026-01-17</v>
      </c>
      <c r="F231" s="2">
        <v>799</v>
      </c>
      <c r="G231" s="3" t="s">
        <v>66</v>
      </c>
      <c r="H231" s="3" t="s">
        <v>64</v>
      </c>
      <c r="I231" s="2">
        <v>28</v>
      </c>
      <c r="J231" s="6" t="str">
        <f>_xlfn.IFNA(VLOOKUP(C231,merchants!$A$1:$D$41,2,0),"Merchant not found")</f>
        <v>Merchant_022</v>
      </c>
      <c r="K231" s="6" t="str">
        <f>_xlfn.IFNA(VLOOKUP(C231,merchants!$A$1:$D$41,3,0),"Merchant not found")</f>
        <v>travel</v>
      </c>
      <c r="L231" s="6" t="str">
        <f>_xlfn.IFNA(VLOOKUP(C231,merchants!$A$1:$D$41,4,0),"Merchant not found")</f>
        <v>South</v>
      </c>
      <c r="M231" s="9">
        <f t="shared" si="7"/>
        <v>0</v>
      </c>
      <c r="N231" s="6" t="str">
        <f>IF(AND(L231&lt;&gt;"East",SUMIFS(merchant_workbook_pivot_table!$D$2:$D$444,merchant_workbook_pivot_table!$C$2:$C$444,E231,merchant_workbook_pivot_table!$B$2:$B$444,J231)&gt;5000),"High-Value Merchant Day",IF(AND(L231&lt;&gt;"East",SUMIFS(merchant_workbook_pivot_table!$D$2:$D$444,merchant_workbook_pivot_table!$C$2:$C$444,E231,merchant_workbook_pivot_table!$B$2:$B$444,J231)&gt;1000),"Mid-Value Merchant Day",""))</f>
        <v xml:space="preserve">Mid-Value Merchant Day</v>
      </c>
    </row>
    <row r="232">
      <c r="A232" s="3" t="s">
        <v>299</v>
      </c>
      <c r="B232" s="2">
        <v>262</v>
      </c>
      <c r="C232" s="2">
        <v>8</v>
      </c>
      <c r="D232" s="8" t="s">
        <v>852</v>
      </c>
      <c r="E232" s="6" t="str">
        <f t="shared" si="6"/>
        <v>2026-01-11</v>
      </c>
      <c r="F232" s="2">
        <v>149</v>
      </c>
      <c r="G232" s="3" t="s">
        <v>66</v>
      </c>
      <c r="H232" s="3" t="s">
        <v>64</v>
      </c>
      <c r="I232" s="2">
        <v>67</v>
      </c>
      <c r="J232" s="6" t="str">
        <f>_xlfn.IFNA(VLOOKUP(C232,merchants!$A$1:$D$41,2,0),"Merchant not found")</f>
        <v>Merchant_008</v>
      </c>
      <c r="K232" s="6" t="str">
        <f>_xlfn.IFNA(VLOOKUP(C232,merchants!$A$1:$D$41,3,0),"Merchant not found")</f>
        <v>food_delivery</v>
      </c>
      <c r="L232" s="6" t="str">
        <f>_xlfn.IFNA(VLOOKUP(C232,merchants!$A$1:$D$41,4,0),"Merchant not found")</f>
        <v>North</v>
      </c>
      <c r="M232" s="9">
        <f t="shared" si="7"/>
        <v>0</v>
      </c>
      <c r="N232" s="6" t="str">
        <f>IF(AND(L232&lt;&gt;"East",SUMIFS(merchant_workbook_pivot_table!$D$2:$D$444,merchant_workbook_pivot_table!$C$2:$C$444,E232,merchant_workbook_pivot_table!$B$2:$B$444,J232)&gt;5000),"High-Value Merchant Day",IF(AND(L232&lt;&gt;"East",SUMIFS(merchant_workbook_pivot_table!$D$2:$D$444,merchant_workbook_pivot_table!$C$2:$C$444,E232,merchant_workbook_pivot_table!$B$2:$B$444,J232)&gt;1000),"Mid-Value Merchant Day",""))</f>
        <v/>
      </c>
    </row>
    <row r="233">
      <c r="A233" s="3" t="s">
        <v>300</v>
      </c>
      <c r="B233" s="2">
        <v>179</v>
      </c>
      <c r="C233" s="2">
        <v>23</v>
      </c>
      <c r="D233" s="8" t="s">
        <v>853</v>
      </c>
      <c r="E233" s="6" t="str">
        <f t="shared" si="6"/>
        <v>2026-01-17</v>
      </c>
      <c r="F233" s="2">
        <v>49</v>
      </c>
      <c r="G233" s="3" t="s">
        <v>63</v>
      </c>
      <c r="H233" s="3" t="s">
        <v>64</v>
      </c>
      <c r="I233" s="2">
        <v>93</v>
      </c>
      <c r="J233" s="6" t="str">
        <f>_xlfn.IFNA(VLOOKUP(C233,merchants!$A$1:$D$41,2,0),"Merchant not found")</f>
        <v>Merchant_023</v>
      </c>
      <c r="K233" s="6" t="str">
        <f>_xlfn.IFNA(VLOOKUP(C233,merchants!$A$1:$D$41,3,0),"Merchant not found")</f>
        <v>travel</v>
      </c>
      <c r="L233" s="6" t="str">
        <f>_xlfn.IFNA(VLOOKUP(C233,merchants!$A$1:$D$41,4,0),"Merchant not found")</f>
        <v>North</v>
      </c>
      <c r="M233" s="9">
        <f t="shared" si="7"/>
        <v>0.73499999999999999</v>
      </c>
      <c r="N233" s="6" t="str">
        <f>IF(AND(L233&lt;&gt;"East",SUMIFS(merchant_workbook_pivot_table!$D$2:$D$444,merchant_workbook_pivot_table!$C$2:$C$444,E233,merchant_workbook_pivot_table!$B$2:$B$444,J233)&gt;5000),"High-Value Merchant Day",IF(AND(L233&lt;&gt;"East",SUMIFS(merchant_workbook_pivot_table!$D$2:$D$444,merchant_workbook_pivot_table!$C$2:$C$444,E233,merchant_workbook_pivot_table!$B$2:$B$444,J233)&gt;1000),"Mid-Value Merchant Day",""))</f>
        <v/>
      </c>
    </row>
    <row r="234">
      <c r="A234" s="3" t="s">
        <v>301</v>
      </c>
      <c r="B234" s="2">
        <v>76</v>
      </c>
      <c r="C234" s="2">
        <v>16</v>
      </c>
      <c r="D234" s="8" t="s">
        <v>854</v>
      </c>
      <c r="E234" s="6" t="str">
        <f t="shared" si="6"/>
        <v>2026-01-27</v>
      </c>
      <c r="F234" s="2">
        <v>299</v>
      </c>
      <c r="G234" s="3" t="s">
        <v>66</v>
      </c>
      <c r="H234" s="3" t="s">
        <v>64</v>
      </c>
      <c r="I234" s="2">
        <v>13</v>
      </c>
      <c r="J234" s="6" t="str">
        <f>_xlfn.IFNA(VLOOKUP(C234,merchants!$A$1:$D$41,2,0),"Merchant not found")</f>
        <v>Merchant_016</v>
      </c>
      <c r="K234" s="6" t="str">
        <f>_xlfn.IFNA(VLOOKUP(C234,merchants!$A$1:$D$41,3,0),"Merchant not found")</f>
        <v>bill_payment</v>
      </c>
      <c r="L234" s="6" t="str">
        <f>_xlfn.IFNA(VLOOKUP(C234,merchants!$A$1:$D$41,4,0),"Merchant not found")</f>
        <v>West</v>
      </c>
      <c r="M234" s="9">
        <f t="shared" si="7"/>
        <v>0</v>
      </c>
      <c r="N234" s="6" t="str">
        <f>IF(AND(L234&lt;&gt;"East",SUMIFS(merchant_workbook_pivot_table!$D$2:$D$444,merchant_workbook_pivot_table!$C$2:$C$444,E234,merchant_workbook_pivot_table!$B$2:$B$444,J234)&gt;5000),"High-Value Merchant Day",IF(AND(L234&lt;&gt;"East",SUMIFS(merchant_workbook_pivot_table!$D$2:$D$444,merchant_workbook_pivot_table!$C$2:$C$444,E234,merchant_workbook_pivot_table!$B$2:$B$444,J234)&gt;1000),"Mid-Value Merchant Day",""))</f>
        <v/>
      </c>
    </row>
    <row r="235">
      <c r="A235" s="3" t="s">
        <v>302</v>
      </c>
      <c r="B235" s="2">
        <v>89</v>
      </c>
      <c r="C235" s="2">
        <v>39</v>
      </c>
      <c r="D235" s="8" t="s">
        <v>855</v>
      </c>
      <c r="E235" s="6" t="str">
        <f t="shared" si="6"/>
        <v>2026-01-05</v>
      </c>
      <c r="F235" s="2">
        <v>299</v>
      </c>
      <c r="G235" s="3" t="s">
        <v>66</v>
      </c>
      <c r="H235" s="3" t="s">
        <v>64</v>
      </c>
      <c r="I235" s="2">
        <v>19</v>
      </c>
      <c r="J235" s="6" t="str">
        <f>_xlfn.IFNA(VLOOKUP(C235,merchants!$A$1:$D$41,2,0),"Merchant not found")</f>
        <v>Merchant_039</v>
      </c>
      <c r="K235" s="6" t="str">
        <f>_xlfn.IFNA(VLOOKUP(C235,merchants!$A$1:$D$41,3,0),"Merchant not found")</f>
        <v>entertainment</v>
      </c>
      <c r="L235" s="6" t="str">
        <f>_xlfn.IFNA(VLOOKUP(C235,merchants!$A$1:$D$41,4,0),"Merchant not found")</f>
        <v>North</v>
      </c>
      <c r="M235" s="9">
        <f t="shared" si="7"/>
        <v>0</v>
      </c>
      <c r="N235" s="6" t="str">
        <f>IF(AND(L235&lt;&gt;"East",SUMIFS(merchant_workbook_pivot_table!$D$2:$D$444,merchant_workbook_pivot_table!$C$2:$C$444,E235,merchant_workbook_pivot_table!$B$2:$B$444,J235)&gt;5000),"High-Value Merchant Day",IF(AND(L235&lt;&gt;"East",SUMIFS(merchant_workbook_pivot_table!$D$2:$D$444,merchant_workbook_pivot_table!$C$2:$C$444,E235,merchant_workbook_pivot_table!$B$2:$B$444,J235)&gt;1000),"Mid-Value Merchant Day",""))</f>
        <v/>
      </c>
    </row>
    <row r="236">
      <c r="A236" s="3" t="s">
        <v>303</v>
      </c>
      <c r="B236" s="2">
        <v>91</v>
      </c>
      <c r="C236" s="2">
        <v>32</v>
      </c>
      <c r="D236" s="8" t="s">
        <v>856</v>
      </c>
      <c r="E236" s="6" t="str">
        <f t="shared" si="6"/>
        <v>2026-01-25</v>
      </c>
      <c r="F236" s="2">
        <v>49</v>
      </c>
      <c r="G236" s="3" t="s">
        <v>66</v>
      </c>
      <c r="H236" s="3" t="s">
        <v>64</v>
      </c>
      <c r="I236" s="2">
        <v>59</v>
      </c>
      <c r="J236" s="6" t="str">
        <f>_xlfn.IFNA(VLOOKUP(C236,merchants!$A$1:$D$41,2,0),"Merchant not found")</f>
        <v>Merchant_032</v>
      </c>
      <c r="K236" s="6" t="str">
        <f>_xlfn.IFNA(VLOOKUP(C236,merchants!$A$1:$D$41,3,0),"Merchant not found")</f>
        <v>food_delivery</v>
      </c>
      <c r="L236" s="6" t="str">
        <f>_xlfn.IFNA(VLOOKUP(C236,merchants!$A$1:$D$41,4,0),"Merchant not found")</f>
        <v>West</v>
      </c>
      <c r="M236" s="9">
        <f t="shared" si="7"/>
        <v>0</v>
      </c>
      <c r="N236" s="6" t="str">
        <f>IF(AND(L236&lt;&gt;"East",SUMIFS(merchant_workbook_pivot_table!$D$2:$D$444,merchant_workbook_pivot_table!$C$2:$C$444,E236,merchant_workbook_pivot_table!$B$2:$B$444,J236)&gt;5000),"High-Value Merchant Day",IF(AND(L236&lt;&gt;"East",SUMIFS(merchant_workbook_pivot_table!$D$2:$D$444,merchant_workbook_pivot_table!$C$2:$C$444,E236,merchant_workbook_pivot_table!$B$2:$B$444,J236)&gt;1000),"Mid-Value Merchant Day",""))</f>
        <v/>
      </c>
    </row>
    <row r="237">
      <c r="A237" s="3" t="s">
        <v>304</v>
      </c>
      <c r="B237" s="2">
        <v>297</v>
      </c>
      <c r="C237" s="2">
        <v>29</v>
      </c>
      <c r="D237" s="8" t="s">
        <v>857</v>
      </c>
      <c r="E237" s="6" t="str">
        <f t="shared" si="6"/>
        <v>2026-01-25</v>
      </c>
      <c r="F237" s="2">
        <v>99</v>
      </c>
      <c r="G237" s="3" t="s">
        <v>78</v>
      </c>
      <c r="H237" s="3" t="s">
        <v>92</v>
      </c>
      <c r="I237" s="2">
        <v>87</v>
      </c>
      <c r="J237" s="6" t="str">
        <f>_xlfn.IFNA(VLOOKUP(C237,merchants!$A$1:$D$41,2,0),"Merchant not found")</f>
        <v>Merchant_029</v>
      </c>
      <c r="K237" s="6" t="str">
        <f>_xlfn.IFNA(VLOOKUP(C237,merchants!$A$1:$D$41,3,0),"Merchant not found")</f>
        <v>ecommerce</v>
      </c>
      <c r="L237" s="6" t="str">
        <f>_xlfn.IFNA(VLOOKUP(C237,merchants!$A$1:$D$41,4,0),"Merchant not found")</f>
        <v>North</v>
      </c>
      <c r="M237" s="9">
        <f t="shared" si="7"/>
        <v>1.98</v>
      </c>
      <c r="N237" s="6" t="str">
        <f>IF(AND(L237&lt;&gt;"East",SUMIFS(merchant_workbook_pivot_table!$D$2:$D$444,merchant_workbook_pivot_table!$C$2:$C$444,E237,merchant_workbook_pivot_table!$B$2:$B$444,J237)&gt;5000),"High-Value Merchant Day",IF(AND(L237&lt;&gt;"East",SUMIFS(merchant_workbook_pivot_table!$D$2:$D$444,merchant_workbook_pivot_table!$C$2:$C$444,E237,merchant_workbook_pivot_table!$B$2:$B$444,J237)&gt;1000),"Mid-Value Merchant Day",""))</f>
        <v xml:space="preserve">Mid-Value Merchant Day</v>
      </c>
    </row>
    <row r="238">
      <c r="A238" s="3" t="s">
        <v>305</v>
      </c>
      <c r="B238" s="2">
        <v>326</v>
      </c>
      <c r="C238" s="2">
        <v>40</v>
      </c>
      <c r="D238" s="8" t="s">
        <v>858</v>
      </c>
      <c r="E238" s="6" t="str">
        <f t="shared" si="6"/>
        <v>2026-01-30</v>
      </c>
      <c r="F238" s="2">
        <v>499</v>
      </c>
      <c r="G238" s="3" t="s">
        <v>78</v>
      </c>
      <c r="H238" s="3" t="s">
        <v>64</v>
      </c>
      <c r="I238" s="2">
        <v>41</v>
      </c>
      <c r="J238" s="6" t="str">
        <f>_xlfn.IFNA(VLOOKUP(C238,merchants!$A$1:$D$41,2,0),"Merchant not found")</f>
        <v>Merchant_040</v>
      </c>
      <c r="K238" s="6" t="str">
        <f>_xlfn.IFNA(VLOOKUP(C238,merchants!$A$1:$D$41,3,0),"Merchant not found")</f>
        <v>entertainment</v>
      </c>
      <c r="L238" s="6" t="str">
        <f>_xlfn.IFNA(VLOOKUP(C238,merchants!$A$1:$D$41,4,0),"Merchant not found")</f>
        <v>South</v>
      </c>
      <c r="M238" s="9">
        <f t="shared" si="7"/>
        <v>9.9800000000000004</v>
      </c>
      <c r="N238" s="6" t="str">
        <f>IF(AND(L238&lt;&gt;"East",SUMIFS(merchant_workbook_pivot_table!$D$2:$D$444,merchant_workbook_pivot_table!$C$2:$C$444,E238,merchant_workbook_pivot_table!$B$2:$B$444,J238)&gt;5000),"High-Value Merchant Day",IF(AND(L238&lt;&gt;"East",SUMIFS(merchant_workbook_pivot_table!$D$2:$D$444,merchant_workbook_pivot_table!$C$2:$C$444,E238,merchant_workbook_pivot_table!$B$2:$B$444,J238)&gt;1000),"Mid-Value Merchant Day",""))</f>
        <v/>
      </c>
    </row>
    <row r="239">
      <c r="A239" s="3" t="s">
        <v>306</v>
      </c>
      <c r="B239" s="2">
        <v>78</v>
      </c>
      <c r="C239" s="2">
        <v>29</v>
      </c>
      <c r="D239" s="8" t="s">
        <v>859</v>
      </c>
      <c r="E239" s="6" t="str">
        <f t="shared" si="6"/>
        <v>2026-01-28</v>
      </c>
      <c r="F239" s="2">
        <v>149</v>
      </c>
      <c r="G239" s="3" t="s">
        <v>66</v>
      </c>
      <c r="H239" s="3" t="s">
        <v>64</v>
      </c>
      <c r="I239" s="2">
        <v>8</v>
      </c>
      <c r="J239" s="6" t="str">
        <f>_xlfn.IFNA(VLOOKUP(C239,merchants!$A$1:$D$41,2,0),"Merchant not found")</f>
        <v>Merchant_029</v>
      </c>
      <c r="K239" s="6" t="str">
        <f>_xlfn.IFNA(VLOOKUP(C239,merchants!$A$1:$D$41,3,0),"Merchant not found")</f>
        <v>ecommerce</v>
      </c>
      <c r="L239" s="6" t="str">
        <f>_xlfn.IFNA(VLOOKUP(C239,merchants!$A$1:$D$41,4,0),"Merchant not found")</f>
        <v>North</v>
      </c>
      <c r="M239" s="9">
        <f t="shared" si="7"/>
        <v>0</v>
      </c>
      <c r="N239" s="6" t="str">
        <f>IF(AND(L239&lt;&gt;"East",SUMIFS(merchant_workbook_pivot_table!$D$2:$D$444,merchant_workbook_pivot_table!$C$2:$C$444,E239,merchant_workbook_pivot_table!$B$2:$B$444,J239)&gt;5000),"High-Value Merchant Day",IF(AND(L239&lt;&gt;"East",SUMIFS(merchant_workbook_pivot_table!$D$2:$D$444,merchant_workbook_pivot_table!$C$2:$C$444,E239,merchant_workbook_pivot_table!$B$2:$B$444,J239)&gt;1000),"Mid-Value Merchant Day",""))</f>
        <v/>
      </c>
    </row>
    <row r="240">
      <c r="A240" s="3" t="s">
        <v>307</v>
      </c>
      <c r="B240" s="2">
        <v>156</v>
      </c>
      <c r="C240" s="2">
        <v>18</v>
      </c>
      <c r="D240" s="8" t="s">
        <v>860</v>
      </c>
      <c r="E240" s="6" t="str">
        <f t="shared" si="6"/>
        <v>2026-01-16</v>
      </c>
      <c r="F240" s="2">
        <v>2999</v>
      </c>
      <c r="G240" s="3" t="s">
        <v>78</v>
      </c>
      <c r="H240" s="3" t="s">
        <v>64</v>
      </c>
      <c r="I240" s="2">
        <v>75</v>
      </c>
      <c r="J240" s="6" t="str">
        <f>_xlfn.IFNA(VLOOKUP(C240,merchants!$A$1:$D$41,2,0),"Merchant not found")</f>
        <v>Merchant_018</v>
      </c>
      <c r="K240" s="6" t="str">
        <f>_xlfn.IFNA(VLOOKUP(C240,merchants!$A$1:$D$41,3,0),"Merchant not found")</f>
        <v>grocery</v>
      </c>
      <c r="L240" s="6" t="str">
        <f>_xlfn.IFNA(VLOOKUP(C240,merchants!$A$1:$D$41,4,0),"Merchant not found")</f>
        <v>West</v>
      </c>
      <c r="M240" s="9">
        <f t="shared" si="7"/>
        <v>59.980000000000004</v>
      </c>
      <c r="N240" s="6" t="str">
        <f>IF(AND(L240&lt;&gt;"East",SUMIFS(merchant_workbook_pivot_table!$D$2:$D$444,merchant_workbook_pivot_table!$C$2:$C$444,E240,merchant_workbook_pivot_table!$B$2:$B$444,J240)&gt;5000),"High-Value Merchant Day",IF(AND(L240&lt;&gt;"East",SUMIFS(merchant_workbook_pivot_table!$D$2:$D$444,merchant_workbook_pivot_table!$C$2:$C$444,E240,merchant_workbook_pivot_table!$B$2:$B$444,J240)&gt;1000),"Mid-Value Merchant Day",""))</f>
        <v xml:space="preserve">Mid-Value Merchant Day</v>
      </c>
    </row>
    <row r="241">
      <c r="A241" s="3" t="s">
        <v>308</v>
      </c>
      <c r="B241" s="2">
        <v>38</v>
      </c>
      <c r="C241" s="2">
        <v>20</v>
      </c>
      <c r="D241" s="8" t="s">
        <v>861</v>
      </c>
      <c r="E241" s="6" t="str">
        <f t="shared" si="6"/>
        <v>2026-01-02</v>
      </c>
      <c r="F241" s="2">
        <v>49</v>
      </c>
      <c r="G241" s="3" t="s">
        <v>63</v>
      </c>
      <c r="H241" s="3" t="s">
        <v>79</v>
      </c>
      <c r="I241" s="2">
        <v>59</v>
      </c>
      <c r="J241" s="6" t="str">
        <f>_xlfn.IFNA(VLOOKUP(C241,merchants!$A$1:$D$41,2,0),"Merchant not found")</f>
        <v>Merchant_020</v>
      </c>
      <c r="K241" s="6" t="str">
        <f>_xlfn.IFNA(VLOOKUP(C241,merchants!$A$1:$D$41,3,0),"Merchant not found")</f>
        <v>food_delivery</v>
      </c>
      <c r="L241" s="6" t="str">
        <f>_xlfn.IFNA(VLOOKUP(C241,merchants!$A$1:$D$41,4,0),"Merchant not found")</f>
        <v>East</v>
      </c>
      <c r="M241" s="9">
        <f t="shared" si="7"/>
        <v>0.73499999999999999</v>
      </c>
      <c r="N241" s="6" t="str">
        <f>IF(AND(L241&lt;&gt;"East",SUMIFS(merchant_workbook_pivot_table!$D$2:$D$444,merchant_workbook_pivot_table!$C$2:$C$444,E241,merchant_workbook_pivot_table!$B$2:$B$444,J241)&gt;5000),"High-Value Merchant Day",IF(AND(L241&lt;&gt;"East",SUMIFS(merchant_workbook_pivot_table!$D$2:$D$444,merchant_workbook_pivot_table!$C$2:$C$444,E241,merchant_workbook_pivot_table!$B$2:$B$444,J241)&gt;1000),"Mid-Value Merchant Day",""))</f>
        <v/>
      </c>
    </row>
    <row r="242">
      <c r="A242" s="3" t="s">
        <v>309</v>
      </c>
      <c r="B242" s="2">
        <v>189</v>
      </c>
      <c r="C242" s="2">
        <v>19</v>
      </c>
      <c r="D242" s="8" t="s">
        <v>862</v>
      </c>
      <c r="E242" s="6" t="str">
        <f t="shared" si="6"/>
        <v>2026-01-15</v>
      </c>
      <c r="F242" s="2">
        <v>99</v>
      </c>
      <c r="G242" s="3" t="s">
        <v>66</v>
      </c>
      <c r="H242" s="3" t="s">
        <v>79</v>
      </c>
      <c r="I242" s="2">
        <v>9</v>
      </c>
      <c r="J242" s="6" t="str">
        <f>_xlfn.IFNA(VLOOKUP(C242,merchants!$A$1:$D$41,2,0),"Merchant not found")</f>
        <v>Merchant_019</v>
      </c>
      <c r="K242" s="6" t="str">
        <f>_xlfn.IFNA(VLOOKUP(C242,merchants!$A$1:$D$41,3,0),"Merchant not found")</f>
        <v>grocery</v>
      </c>
      <c r="L242" s="6" t="str">
        <f>_xlfn.IFNA(VLOOKUP(C242,merchants!$A$1:$D$41,4,0),"Merchant not found")</f>
        <v>North</v>
      </c>
      <c r="M242" s="9">
        <f t="shared" si="7"/>
        <v>0</v>
      </c>
      <c r="N242" s="6" t="str">
        <f>IF(AND(L242&lt;&gt;"East",SUMIFS(merchant_workbook_pivot_table!$D$2:$D$444,merchant_workbook_pivot_table!$C$2:$C$444,E242,merchant_workbook_pivot_table!$B$2:$B$444,J242)&gt;5000),"High-Value Merchant Day",IF(AND(L242&lt;&gt;"East",SUMIFS(merchant_workbook_pivot_table!$D$2:$D$444,merchant_workbook_pivot_table!$C$2:$C$444,E242,merchant_workbook_pivot_table!$B$2:$B$444,J242)&gt;1000),"Mid-Value Merchant Day",""))</f>
        <v/>
      </c>
    </row>
    <row r="243">
      <c r="A243" s="3" t="s">
        <v>310</v>
      </c>
      <c r="B243" s="2">
        <v>305</v>
      </c>
      <c r="C243" s="2">
        <v>33</v>
      </c>
      <c r="D243" s="8" t="s">
        <v>863</v>
      </c>
      <c r="E243" s="6" t="str">
        <f t="shared" si="6"/>
        <v>2026-01-21</v>
      </c>
      <c r="F243" s="2">
        <v>299</v>
      </c>
      <c r="G243" s="3" t="s">
        <v>78</v>
      </c>
      <c r="H243" s="3" t="s">
        <v>64</v>
      </c>
      <c r="I243" s="2">
        <v>49</v>
      </c>
      <c r="J243" s="6" t="str">
        <f>_xlfn.IFNA(VLOOKUP(C243,merchants!$A$1:$D$41,2,0),"Merchant not found")</f>
        <v>Merchant_033</v>
      </c>
      <c r="K243" s="6" t="str">
        <f>_xlfn.IFNA(VLOOKUP(C243,merchants!$A$1:$D$41,3,0),"Merchant not found")</f>
        <v>bill_payment</v>
      </c>
      <c r="L243" s="6" t="str">
        <f>_xlfn.IFNA(VLOOKUP(C243,merchants!$A$1:$D$41,4,0),"Merchant not found")</f>
        <v>East</v>
      </c>
      <c r="M243" s="9">
        <f t="shared" si="7"/>
        <v>5.9800000000000004</v>
      </c>
      <c r="N243" s="6" t="str">
        <f>IF(AND(L243&lt;&gt;"East",SUMIFS(merchant_workbook_pivot_table!$D$2:$D$444,merchant_workbook_pivot_table!$C$2:$C$444,E243,merchant_workbook_pivot_table!$B$2:$B$444,J243)&gt;5000),"High-Value Merchant Day",IF(AND(L243&lt;&gt;"East",SUMIFS(merchant_workbook_pivot_table!$D$2:$D$444,merchant_workbook_pivot_table!$C$2:$C$444,E243,merchant_workbook_pivot_table!$B$2:$B$444,J243)&gt;1000),"Mid-Value Merchant Day",""))</f>
        <v/>
      </c>
    </row>
    <row r="244">
      <c r="A244" s="3" t="s">
        <v>311</v>
      </c>
      <c r="B244" s="2">
        <v>22</v>
      </c>
      <c r="C244" s="2">
        <v>29</v>
      </c>
      <c r="D244" s="8" t="s">
        <v>864</v>
      </c>
      <c r="E244" s="6" t="str">
        <f t="shared" si="6"/>
        <v>2026-01-15</v>
      </c>
      <c r="F244" s="2">
        <v>799</v>
      </c>
      <c r="G244" s="3" t="s">
        <v>66</v>
      </c>
      <c r="H244" s="3" t="s">
        <v>64</v>
      </c>
      <c r="I244" s="2">
        <v>73</v>
      </c>
      <c r="J244" s="6" t="str">
        <f>_xlfn.IFNA(VLOOKUP(C244,merchants!$A$1:$D$41,2,0),"Merchant not found")</f>
        <v>Merchant_029</v>
      </c>
      <c r="K244" s="6" t="str">
        <f>_xlfn.IFNA(VLOOKUP(C244,merchants!$A$1:$D$41,3,0),"Merchant not found")</f>
        <v>ecommerce</v>
      </c>
      <c r="L244" s="6" t="str">
        <f>_xlfn.IFNA(VLOOKUP(C244,merchants!$A$1:$D$41,4,0),"Merchant not found")</f>
        <v>North</v>
      </c>
      <c r="M244" s="9">
        <f t="shared" si="7"/>
        <v>0</v>
      </c>
      <c r="N244" s="6" t="str">
        <f>IF(AND(L244&lt;&gt;"East",SUMIFS(merchant_workbook_pivot_table!$D$2:$D$444,merchant_workbook_pivot_table!$C$2:$C$444,E244,merchant_workbook_pivot_table!$B$2:$B$444,J244)&gt;5000),"High-Value Merchant Day",IF(AND(L244&lt;&gt;"East",SUMIFS(merchant_workbook_pivot_table!$D$2:$D$444,merchant_workbook_pivot_table!$C$2:$C$444,E244,merchant_workbook_pivot_table!$B$2:$B$444,J244)&gt;1000),"Mid-Value Merchant Day",""))</f>
        <v xml:space="preserve">Mid-Value Merchant Day</v>
      </c>
    </row>
    <row r="245">
      <c r="A245" s="3" t="s">
        <v>312</v>
      </c>
      <c r="B245" s="2">
        <v>310</v>
      </c>
      <c r="C245" s="2">
        <v>31</v>
      </c>
      <c r="D245" s="8" t="s">
        <v>865</v>
      </c>
      <c r="E245" s="6" t="str">
        <f t="shared" si="6"/>
        <v>2026-01-21</v>
      </c>
      <c r="F245" s="2">
        <v>49</v>
      </c>
      <c r="G245" s="3" t="s">
        <v>78</v>
      </c>
      <c r="H245" s="3" t="s">
        <v>64</v>
      </c>
      <c r="I245" s="2">
        <v>64</v>
      </c>
      <c r="J245" s="6" t="str">
        <f>_xlfn.IFNA(VLOOKUP(C245,merchants!$A$1:$D$41,2,0),"Merchant not found")</f>
        <v>Merchant_031</v>
      </c>
      <c r="K245" s="6" t="str">
        <f>_xlfn.IFNA(VLOOKUP(C245,merchants!$A$1:$D$41,3,0),"Merchant not found")</f>
        <v>bill_payment</v>
      </c>
      <c r="L245" s="6" t="str">
        <f>_xlfn.IFNA(VLOOKUP(C245,merchants!$A$1:$D$41,4,0),"Merchant not found")</f>
        <v>East</v>
      </c>
      <c r="M245" s="9">
        <f t="shared" si="7"/>
        <v>0.97999999999999998</v>
      </c>
      <c r="N245" s="6" t="str">
        <f>IF(AND(L245&lt;&gt;"East",SUMIFS(merchant_workbook_pivot_table!$D$2:$D$444,merchant_workbook_pivot_table!$C$2:$C$444,E245,merchant_workbook_pivot_table!$B$2:$B$444,J245)&gt;5000),"High-Value Merchant Day",IF(AND(L245&lt;&gt;"East",SUMIFS(merchant_workbook_pivot_table!$D$2:$D$444,merchant_workbook_pivot_table!$C$2:$C$444,E245,merchant_workbook_pivot_table!$B$2:$B$444,J245)&gt;1000),"Mid-Value Merchant Day",""))</f>
        <v/>
      </c>
    </row>
    <row r="246">
      <c r="A246" s="3" t="s">
        <v>313</v>
      </c>
      <c r="B246" s="2">
        <v>53</v>
      </c>
      <c r="C246" s="2">
        <v>22</v>
      </c>
      <c r="D246" s="8" t="s">
        <v>866</v>
      </c>
      <c r="E246" s="6" t="str">
        <f t="shared" si="6"/>
        <v>2026-01-05</v>
      </c>
      <c r="F246" s="2">
        <v>299</v>
      </c>
      <c r="G246" s="3" t="s">
        <v>66</v>
      </c>
      <c r="H246" s="3" t="s">
        <v>64</v>
      </c>
      <c r="I246" s="2">
        <v>91</v>
      </c>
      <c r="J246" s="6" t="str">
        <f>_xlfn.IFNA(VLOOKUP(C246,merchants!$A$1:$D$41,2,0),"Merchant not found")</f>
        <v>Merchant_022</v>
      </c>
      <c r="K246" s="6" t="str">
        <f>_xlfn.IFNA(VLOOKUP(C246,merchants!$A$1:$D$41,3,0),"Merchant not found")</f>
        <v>travel</v>
      </c>
      <c r="L246" s="6" t="str">
        <f>_xlfn.IFNA(VLOOKUP(C246,merchants!$A$1:$D$41,4,0),"Merchant not found")</f>
        <v>South</v>
      </c>
      <c r="M246" s="9">
        <f t="shared" si="7"/>
        <v>0</v>
      </c>
      <c r="N246" s="6" t="str">
        <f>IF(AND(L246&lt;&gt;"East",SUMIFS(merchant_workbook_pivot_table!$D$2:$D$444,merchant_workbook_pivot_table!$C$2:$C$444,E246,merchant_workbook_pivot_table!$B$2:$B$444,J246)&gt;5000),"High-Value Merchant Day",IF(AND(L246&lt;&gt;"East",SUMIFS(merchant_workbook_pivot_table!$D$2:$D$444,merchant_workbook_pivot_table!$C$2:$C$444,E246,merchant_workbook_pivot_table!$B$2:$B$444,J246)&gt;1000),"Mid-Value Merchant Day",""))</f>
        <v/>
      </c>
    </row>
    <row r="247">
      <c r="A247" s="3" t="s">
        <v>314</v>
      </c>
      <c r="B247" s="2">
        <v>89</v>
      </c>
      <c r="C247" s="2">
        <v>3</v>
      </c>
      <c r="D247" s="8" t="s">
        <v>867</v>
      </c>
      <c r="E247" s="6" t="str">
        <f t="shared" si="6"/>
        <v>2026-01-03</v>
      </c>
      <c r="F247" s="2">
        <v>149</v>
      </c>
      <c r="G247" s="3" t="s">
        <v>78</v>
      </c>
      <c r="H247" s="3" t="s">
        <v>64</v>
      </c>
      <c r="I247" s="2">
        <v>31</v>
      </c>
      <c r="J247" s="6" t="str">
        <f>_xlfn.IFNA(VLOOKUP(C247,merchants!$A$1:$D$41,2,0),"Merchant not found")</f>
        <v>Merchant_003</v>
      </c>
      <c r="K247" s="6" t="str">
        <f>_xlfn.IFNA(VLOOKUP(C247,merchants!$A$1:$D$41,3,0),"Merchant not found")</f>
        <v>grocery</v>
      </c>
      <c r="L247" s="6" t="str">
        <f>_xlfn.IFNA(VLOOKUP(C247,merchants!$A$1:$D$41,4,0),"Merchant not found")</f>
        <v>East</v>
      </c>
      <c r="M247" s="9">
        <f t="shared" si="7"/>
        <v>2.98</v>
      </c>
      <c r="N247" s="6" t="str">
        <f>IF(AND(L247&lt;&gt;"East",SUMIFS(merchant_workbook_pivot_table!$D$2:$D$444,merchant_workbook_pivot_table!$C$2:$C$444,E247,merchant_workbook_pivot_table!$B$2:$B$444,J247)&gt;5000),"High-Value Merchant Day",IF(AND(L247&lt;&gt;"East",SUMIFS(merchant_workbook_pivot_table!$D$2:$D$444,merchant_workbook_pivot_table!$C$2:$C$444,E247,merchant_workbook_pivot_table!$B$2:$B$444,J247)&gt;1000),"Mid-Value Merchant Day",""))</f>
        <v/>
      </c>
    </row>
    <row r="248">
      <c r="A248" s="3" t="s">
        <v>315</v>
      </c>
      <c r="B248" s="2">
        <v>269</v>
      </c>
      <c r="C248" s="2">
        <v>34</v>
      </c>
      <c r="D248" s="8" t="s">
        <v>868</v>
      </c>
      <c r="E248" s="6" t="str">
        <f t="shared" si="6"/>
        <v>2026-01-23</v>
      </c>
      <c r="F248" s="2">
        <v>149</v>
      </c>
      <c r="G248" s="3" t="s">
        <v>66</v>
      </c>
      <c r="H248" s="3" t="s">
        <v>64</v>
      </c>
      <c r="I248" s="2">
        <v>78</v>
      </c>
      <c r="J248" s="6" t="str">
        <f>_xlfn.IFNA(VLOOKUP(C248,merchants!$A$1:$D$41,2,0),"Merchant not found")</f>
        <v>Merchant_034</v>
      </c>
      <c r="K248" s="6" t="str">
        <f>_xlfn.IFNA(VLOOKUP(C248,merchants!$A$1:$D$41,3,0),"Merchant not found")</f>
        <v>travel</v>
      </c>
      <c r="L248" s="6" t="str">
        <f>_xlfn.IFNA(VLOOKUP(C248,merchants!$A$1:$D$41,4,0),"Merchant not found")</f>
        <v>South</v>
      </c>
      <c r="M248" s="9">
        <f t="shared" si="7"/>
        <v>0</v>
      </c>
      <c r="N248" s="6" t="str">
        <f>IF(AND(L248&lt;&gt;"East",SUMIFS(merchant_workbook_pivot_table!$D$2:$D$444,merchant_workbook_pivot_table!$C$2:$C$444,E248,merchant_workbook_pivot_table!$B$2:$B$444,J248)&gt;5000),"High-Value Merchant Day",IF(AND(L248&lt;&gt;"East",SUMIFS(merchant_workbook_pivot_table!$D$2:$D$444,merchant_workbook_pivot_table!$C$2:$C$444,E248,merchant_workbook_pivot_table!$B$2:$B$444,J248)&gt;1000),"Mid-Value Merchant Day",""))</f>
        <v xml:space="preserve">Mid-Value Merchant Day</v>
      </c>
    </row>
    <row r="249">
      <c r="A249" s="3" t="s">
        <v>316</v>
      </c>
      <c r="B249" s="2">
        <v>145</v>
      </c>
      <c r="C249" s="2">
        <v>25</v>
      </c>
      <c r="D249" s="8" t="s">
        <v>869</v>
      </c>
      <c r="E249" s="6" t="str">
        <f t="shared" si="6"/>
        <v>2026-01-06</v>
      </c>
      <c r="F249" s="2">
        <v>799</v>
      </c>
      <c r="G249" s="3" t="s">
        <v>66</v>
      </c>
      <c r="H249" s="3" t="s">
        <v>64</v>
      </c>
      <c r="I249" s="2">
        <v>52</v>
      </c>
      <c r="J249" s="6" t="str">
        <f>_xlfn.IFNA(VLOOKUP(C249,merchants!$A$1:$D$41,2,0),"Merchant not found")</f>
        <v>Merchant_025</v>
      </c>
      <c r="K249" s="6" t="str">
        <f>_xlfn.IFNA(VLOOKUP(C249,merchants!$A$1:$D$41,3,0),"Merchant not found")</f>
        <v>travel</v>
      </c>
      <c r="L249" s="6" t="str">
        <f>_xlfn.IFNA(VLOOKUP(C249,merchants!$A$1:$D$41,4,0),"Merchant not found")</f>
        <v>South</v>
      </c>
      <c r="M249" s="9">
        <f t="shared" si="7"/>
        <v>0</v>
      </c>
      <c r="N249" s="6" t="str">
        <f>IF(AND(L249&lt;&gt;"East",SUMIFS(merchant_workbook_pivot_table!$D$2:$D$444,merchant_workbook_pivot_table!$C$2:$C$444,E249,merchant_workbook_pivot_table!$B$2:$B$444,J249)&gt;5000),"High-Value Merchant Day",IF(AND(L249&lt;&gt;"East",SUMIFS(merchant_workbook_pivot_table!$D$2:$D$444,merchant_workbook_pivot_table!$C$2:$C$444,E249,merchant_workbook_pivot_table!$B$2:$B$444,J249)&gt;1000),"Mid-Value Merchant Day",""))</f>
        <v/>
      </c>
    </row>
    <row r="250">
      <c r="A250" s="3" t="s">
        <v>317</v>
      </c>
      <c r="B250" s="2">
        <v>307</v>
      </c>
      <c r="C250" s="2">
        <v>4</v>
      </c>
      <c r="D250" s="8" t="s">
        <v>870</v>
      </c>
      <c r="E250" s="6" t="str">
        <f t="shared" si="6"/>
        <v>2026-01-25</v>
      </c>
      <c r="F250" s="2">
        <v>1499</v>
      </c>
      <c r="G250" s="3" t="s">
        <v>66</v>
      </c>
      <c r="H250" s="3" t="s">
        <v>64</v>
      </c>
      <c r="I250" s="2">
        <v>80</v>
      </c>
      <c r="J250" s="6" t="str">
        <f>_xlfn.IFNA(VLOOKUP(C250,merchants!$A$1:$D$41,2,0),"Merchant not found")</f>
        <v>Merchant_004</v>
      </c>
      <c r="K250" s="6" t="str">
        <f>_xlfn.IFNA(VLOOKUP(C250,merchants!$A$1:$D$41,3,0),"Merchant not found")</f>
        <v>ecommerce</v>
      </c>
      <c r="L250" s="6" t="str">
        <f>_xlfn.IFNA(VLOOKUP(C250,merchants!$A$1:$D$41,4,0),"Merchant not found")</f>
        <v>East</v>
      </c>
      <c r="M250" s="9">
        <f t="shared" si="7"/>
        <v>0</v>
      </c>
      <c r="N250" s="6" t="str">
        <f>IF(AND(L250&lt;&gt;"East",SUMIFS(merchant_workbook_pivot_table!$D$2:$D$444,merchant_workbook_pivot_table!$C$2:$C$444,E250,merchant_workbook_pivot_table!$B$2:$B$444,J250)&gt;5000),"High-Value Merchant Day",IF(AND(L250&lt;&gt;"East",SUMIFS(merchant_workbook_pivot_table!$D$2:$D$444,merchant_workbook_pivot_table!$C$2:$C$444,E250,merchant_workbook_pivot_table!$B$2:$B$444,J250)&gt;1000),"Mid-Value Merchant Day",""))</f>
        <v/>
      </c>
    </row>
    <row r="251">
      <c r="A251" s="3" t="s">
        <v>318</v>
      </c>
      <c r="B251" s="2">
        <v>169</v>
      </c>
      <c r="C251" s="2">
        <v>7</v>
      </c>
      <c r="D251" s="8" t="s">
        <v>871</v>
      </c>
      <c r="E251" s="6" t="str">
        <f t="shared" si="6"/>
        <v>2026-01-21</v>
      </c>
      <c r="F251" s="2">
        <v>1499</v>
      </c>
      <c r="G251" s="3" t="s">
        <v>63</v>
      </c>
      <c r="H251" s="3" t="s">
        <v>64</v>
      </c>
      <c r="I251" s="2">
        <v>71</v>
      </c>
      <c r="J251" s="6" t="str">
        <f>_xlfn.IFNA(VLOOKUP(C251,merchants!$A$1:$D$41,2,0),"Merchant not found")</f>
        <v>Merchant_007</v>
      </c>
      <c r="K251" s="6" t="str">
        <f>_xlfn.IFNA(VLOOKUP(C251,merchants!$A$1:$D$41,3,0),"Merchant not found")</f>
        <v>food_delivery</v>
      </c>
      <c r="L251" s="6" t="str">
        <f>_xlfn.IFNA(VLOOKUP(C251,merchants!$A$1:$D$41,4,0),"Merchant not found")</f>
        <v>East</v>
      </c>
      <c r="M251" s="9">
        <f t="shared" si="7"/>
        <v>22.484999999999999</v>
      </c>
      <c r="N251" s="6" t="str">
        <f>IF(AND(L251&lt;&gt;"East",SUMIFS(merchant_workbook_pivot_table!$D$2:$D$444,merchant_workbook_pivot_table!$C$2:$C$444,E251,merchant_workbook_pivot_table!$B$2:$B$444,J251)&gt;5000),"High-Value Merchant Day",IF(AND(L251&lt;&gt;"East",SUMIFS(merchant_workbook_pivot_table!$D$2:$D$444,merchant_workbook_pivot_table!$C$2:$C$444,E251,merchant_workbook_pivot_table!$B$2:$B$444,J251)&gt;1000),"Mid-Value Merchant Day",""))</f>
        <v/>
      </c>
    </row>
    <row r="252">
      <c r="A252" s="3" t="s">
        <v>319</v>
      </c>
      <c r="B252" s="2">
        <v>130</v>
      </c>
      <c r="C252" s="2">
        <v>39</v>
      </c>
      <c r="D252" s="8" t="s">
        <v>872</v>
      </c>
      <c r="E252" s="6" t="str">
        <f t="shared" si="6"/>
        <v>2026-01-22</v>
      </c>
      <c r="F252" s="2">
        <v>2999</v>
      </c>
      <c r="G252" s="3" t="s">
        <v>63</v>
      </c>
      <c r="H252" s="3" t="s">
        <v>64</v>
      </c>
      <c r="I252" s="2">
        <v>19</v>
      </c>
      <c r="J252" s="6" t="str">
        <f>_xlfn.IFNA(VLOOKUP(C252,merchants!$A$1:$D$41,2,0),"Merchant not found")</f>
        <v>Merchant_039</v>
      </c>
      <c r="K252" s="6" t="str">
        <f>_xlfn.IFNA(VLOOKUP(C252,merchants!$A$1:$D$41,3,0),"Merchant not found")</f>
        <v>entertainment</v>
      </c>
      <c r="L252" s="6" t="str">
        <f>_xlfn.IFNA(VLOOKUP(C252,merchants!$A$1:$D$41,4,0),"Merchant not found")</f>
        <v>North</v>
      </c>
      <c r="M252" s="9">
        <f t="shared" si="7"/>
        <v>44.984999999999999</v>
      </c>
      <c r="N252" s="6" t="str">
        <f>IF(AND(L252&lt;&gt;"East",SUMIFS(merchant_workbook_pivot_table!$D$2:$D$444,merchant_workbook_pivot_table!$C$2:$C$444,E252,merchant_workbook_pivot_table!$B$2:$B$444,J252)&gt;5000),"High-Value Merchant Day",IF(AND(L252&lt;&gt;"East",SUMIFS(merchant_workbook_pivot_table!$D$2:$D$444,merchant_workbook_pivot_table!$C$2:$C$444,E252,merchant_workbook_pivot_table!$B$2:$B$444,J252)&gt;1000),"Mid-Value Merchant Day",""))</f>
        <v xml:space="preserve">High-Value Merchant Day</v>
      </c>
    </row>
    <row r="253">
      <c r="A253" s="3" t="s">
        <v>320</v>
      </c>
      <c r="B253" s="2">
        <v>340</v>
      </c>
      <c r="C253" s="2">
        <v>10</v>
      </c>
      <c r="D253" s="8" t="s">
        <v>873</v>
      </c>
      <c r="E253" s="6" t="str">
        <f t="shared" si="6"/>
        <v>2026-01-11</v>
      </c>
      <c r="F253" s="2">
        <v>49</v>
      </c>
      <c r="G253" s="3" t="s">
        <v>78</v>
      </c>
      <c r="H253" s="3" t="s">
        <v>64</v>
      </c>
      <c r="I253" s="2">
        <v>44</v>
      </c>
      <c r="J253" s="6" t="str">
        <f>_xlfn.IFNA(VLOOKUP(C253,merchants!$A$1:$D$41,2,0),"Merchant not found")</f>
        <v>Merchant_010</v>
      </c>
      <c r="K253" s="6" t="str">
        <f>_xlfn.IFNA(VLOOKUP(C253,merchants!$A$1:$D$41,3,0),"Merchant not found")</f>
        <v>grocery</v>
      </c>
      <c r="L253" s="6" t="str">
        <f>_xlfn.IFNA(VLOOKUP(C253,merchants!$A$1:$D$41,4,0),"Merchant not found")</f>
        <v>West</v>
      </c>
      <c r="M253" s="9">
        <f t="shared" si="7"/>
        <v>0.97999999999999998</v>
      </c>
      <c r="N253" s="6" t="str">
        <f>IF(AND(L253&lt;&gt;"East",SUMIFS(merchant_workbook_pivot_table!$D$2:$D$444,merchant_workbook_pivot_table!$C$2:$C$444,E253,merchant_workbook_pivot_table!$B$2:$B$444,J253)&gt;5000),"High-Value Merchant Day",IF(AND(L253&lt;&gt;"East",SUMIFS(merchant_workbook_pivot_table!$D$2:$D$444,merchant_workbook_pivot_table!$C$2:$C$444,E253,merchant_workbook_pivot_table!$B$2:$B$444,J253)&gt;1000),"Mid-Value Merchant Day",""))</f>
        <v/>
      </c>
    </row>
    <row r="254">
      <c r="A254" s="3" t="s">
        <v>321</v>
      </c>
      <c r="B254" s="2">
        <v>340</v>
      </c>
      <c r="C254" s="2">
        <v>26</v>
      </c>
      <c r="D254" s="8" t="s">
        <v>874</v>
      </c>
      <c r="E254" s="6" t="str">
        <f t="shared" si="6"/>
        <v>2026-01-10</v>
      </c>
      <c r="F254" s="2">
        <v>299</v>
      </c>
      <c r="G254" s="3" t="s">
        <v>78</v>
      </c>
      <c r="H254" s="3" t="s">
        <v>64</v>
      </c>
      <c r="I254" s="2">
        <v>16</v>
      </c>
      <c r="J254" s="6" t="str">
        <f>_xlfn.IFNA(VLOOKUP(C254,merchants!$A$1:$D$41,2,0),"Merchant not found")</f>
        <v>Merchant_026</v>
      </c>
      <c r="K254" s="6" t="str">
        <f>_xlfn.IFNA(VLOOKUP(C254,merchants!$A$1:$D$41,3,0),"Merchant not found")</f>
        <v>food_delivery</v>
      </c>
      <c r="L254" s="6" t="str">
        <f>_xlfn.IFNA(VLOOKUP(C254,merchants!$A$1:$D$41,4,0),"Merchant not found")</f>
        <v>East</v>
      </c>
      <c r="M254" s="9">
        <f t="shared" si="7"/>
        <v>5.9800000000000004</v>
      </c>
      <c r="N254" s="6" t="str">
        <f>IF(AND(L254&lt;&gt;"East",SUMIFS(merchant_workbook_pivot_table!$D$2:$D$444,merchant_workbook_pivot_table!$C$2:$C$444,E254,merchant_workbook_pivot_table!$B$2:$B$444,J254)&gt;5000),"High-Value Merchant Day",IF(AND(L254&lt;&gt;"East",SUMIFS(merchant_workbook_pivot_table!$D$2:$D$444,merchant_workbook_pivot_table!$C$2:$C$444,E254,merchant_workbook_pivot_table!$B$2:$B$444,J254)&gt;1000),"Mid-Value Merchant Day",""))</f>
        <v/>
      </c>
    </row>
    <row r="255">
      <c r="A255" s="3" t="s">
        <v>322</v>
      </c>
      <c r="B255" s="2">
        <v>159</v>
      </c>
      <c r="C255" s="2">
        <v>36</v>
      </c>
      <c r="D255" s="8" t="s">
        <v>875</v>
      </c>
      <c r="E255" s="6" t="str">
        <f t="shared" si="6"/>
        <v>2026-01-20</v>
      </c>
      <c r="F255" s="2">
        <v>49</v>
      </c>
      <c r="G255" s="3" t="s">
        <v>66</v>
      </c>
      <c r="H255" s="3" t="s">
        <v>64</v>
      </c>
      <c r="I255" s="2">
        <v>48</v>
      </c>
      <c r="J255" s="6" t="str">
        <f>_xlfn.IFNA(VLOOKUP(C255,merchants!$A$1:$D$41,2,0),"Merchant not found")</f>
        <v>Merchant_036</v>
      </c>
      <c r="K255" s="6" t="str">
        <f>_xlfn.IFNA(VLOOKUP(C255,merchants!$A$1:$D$41,3,0),"Merchant not found")</f>
        <v>entertainment</v>
      </c>
      <c r="L255" s="6" t="str">
        <f>_xlfn.IFNA(VLOOKUP(C255,merchants!$A$1:$D$41,4,0),"Merchant not found")</f>
        <v>East</v>
      </c>
      <c r="M255" s="9">
        <f t="shared" si="7"/>
        <v>0</v>
      </c>
      <c r="N255" s="6" t="str">
        <f>IF(AND(L255&lt;&gt;"East",SUMIFS(merchant_workbook_pivot_table!$D$2:$D$444,merchant_workbook_pivot_table!$C$2:$C$444,E255,merchant_workbook_pivot_table!$B$2:$B$444,J255)&gt;5000),"High-Value Merchant Day",IF(AND(L255&lt;&gt;"East",SUMIFS(merchant_workbook_pivot_table!$D$2:$D$444,merchant_workbook_pivot_table!$C$2:$C$444,E255,merchant_workbook_pivot_table!$B$2:$B$444,J255)&gt;1000),"Mid-Value Merchant Day",""))</f>
        <v/>
      </c>
    </row>
    <row r="256">
      <c r="A256" s="3" t="s">
        <v>323</v>
      </c>
      <c r="B256" s="2">
        <v>66</v>
      </c>
      <c r="C256" s="2">
        <v>34</v>
      </c>
      <c r="D256" s="8" t="s">
        <v>876</v>
      </c>
      <c r="E256" s="6" t="str">
        <f t="shared" si="6"/>
        <v>2026-01-21</v>
      </c>
      <c r="F256" s="2">
        <v>799</v>
      </c>
      <c r="G256" s="3" t="s">
        <v>66</v>
      </c>
      <c r="H256" s="3" t="s">
        <v>64</v>
      </c>
      <c r="I256" s="2">
        <v>11</v>
      </c>
      <c r="J256" s="6" t="str">
        <f>_xlfn.IFNA(VLOOKUP(C256,merchants!$A$1:$D$41,2,0),"Merchant not found")</f>
        <v>Merchant_034</v>
      </c>
      <c r="K256" s="6" t="str">
        <f>_xlfn.IFNA(VLOOKUP(C256,merchants!$A$1:$D$41,3,0),"Merchant not found")</f>
        <v>travel</v>
      </c>
      <c r="L256" s="6" t="str">
        <f>_xlfn.IFNA(VLOOKUP(C256,merchants!$A$1:$D$41,4,0),"Merchant not found")</f>
        <v>South</v>
      </c>
      <c r="M256" s="9">
        <f t="shared" si="7"/>
        <v>0</v>
      </c>
      <c r="N256" s="6" t="str">
        <f>IF(AND(L256&lt;&gt;"East",SUMIFS(merchant_workbook_pivot_table!$D$2:$D$444,merchant_workbook_pivot_table!$C$2:$C$444,E256,merchant_workbook_pivot_table!$B$2:$B$444,J256)&gt;5000),"High-Value Merchant Day",IF(AND(L256&lt;&gt;"East",SUMIFS(merchant_workbook_pivot_table!$D$2:$D$444,merchant_workbook_pivot_table!$C$2:$C$444,E256,merchant_workbook_pivot_table!$B$2:$B$444,J256)&gt;1000),"Mid-Value Merchant Day",""))</f>
        <v/>
      </c>
    </row>
    <row r="257">
      <c r="A257" s="3" t="s">
        <v>324</v>
      </c>
      <c r="B257" s="2">
        <v>261</v>
      </c>
      <c r="C257" s="2">
        <v>24</v>
      </c>
      <c r="D257" s="8" t="s">
        <v>877</v>
      </c>
      <c r="E257" s="6" t="str">
        <f t="shared" si="6"/>
        <v>2026-01-21</v>
      </c>
      <c r="F257" s="2">
        <v>799</v>
      </c>
      <c r="G257" s="3" t="s">
        <v>78</v>
      </c>
      <c r="H257" s="3" t="s">
        <v>64</v>
      </c>
      <c r="I257" s="2">
        <v>2</v>
      </c>
      <c r="J257" s="6" t="str">
        <f>_xlfn.IFNA(VLOOKUP(C257,merchants!$A$1:$D$41,2,0),"Merchant not found")</f>
        <v>Merchant_024</v>
      </c>
      <c r="K257" s="6" t="str">
        <f>_xlfn.IFNA(VLOOKUP(C257,merchants!$A$1:$D$41,3,0),"Merchant not found")</f>
        <v>grocery</v>
      </c>
      <c r="L257" s="6" t="str">
        <f>_xlfn.IFNA(VLOOKUP(C257,merchants!$A$1:$D$41,4,0),"Merchant not found")</f>
        <v>North</v>
      </c>
      <c r="M257" s="9">
        <f t="shared" si="7"/>
        <v>15.98</v>
      </c>
      <c r="N257" s="6" t="str">
        <f>IF(AND(L257&lt;&gt;"East",SUMIFS(merchant_workbook_pivot_table!$D$2:$D$444,merchant_workbook_pivot_table!$C$2:$C$444,E257,merchant_workbook_pivot_table!$B$2:$B$444,J257)&gt;5000),"High-Value Merchant Day",IF(AND(L257&lt;&gt;"East",SUMIFS(merchant_workbook_pivot_table!$D$2:$D$444,merchant_workbook_pivot_table!$C$2:$C$444,E257,merchant_workbook_pivot_table!$B$2:$B$444,J257)&gt;1000),"Mid-Value Merchant Day",""))</f>
        <v/>
      </c>
    </row>
    <row r="258">
      <c r="A258" s="3" t="s">
        <v>325</v>
      </c>
      <c r="B258" s="2">
        <v>110</v>
      </c>
      <c r="C258" s="2">
        <v>22</v>
      </c>
      <c r="D258" s="8" t="s">
        <v>878</v>
      </c>
      <c r="E258" s="6" t="str">
        <f t="shared" ref="E258:E321" si="8">LEFT(D258,10)</f>
        <v>2026-01-12</v>
      </c>
      <c r="F258" s="2">
        <v>799</v>
      </c>
      <c r="G258" s="3" t="s">
        <v>66</v>
      </c>
      <c r="H258" s="3" t="s">
        <v>64</v>
      </c>
      <c r="I258" s="2">
        <v>98</v>
      </c>
      <c r="J258" s="6" t="str">
        <f>_xlfn.IFNA(VLOOKUP(C258,merchants!$A$1:$D$41,2,0),"Merchant not found")</f>
        <v>Merchant_022</v>
      </c>
      <c r="K258" s="6" t="str">
        <f>_xlfn.IFNA(VLOOKUP(C258,merchants!$A$1:$D$41,3,0),"Merchant not found")</f>
        <v>travel</v>
      </c>
      <c r="L258" s="6" t="str">
        <f>_xlfn.IFNA(VLOOKUP(C258,merchants!$A$1:$D$41,4,0),"Merchant not found")</f>
        <v>South</v>
      </c>
      <c r="M258" s="9">
        <f t="shared" ref="M258:M321" si="9">F258*(HLOOKUP(G258,$Q$1:$T$2,2,0))</f>
        <v>0</v>
      </c>
      <c r="N258" s="6" t="str">
        <f>IF(AND(L258&lt;&gt;"East",SUMIFS(merchant_workbook_pivot_table!$D$2:$D$444,merchant_workbook_pivot_table!$C$2:$C$444,E258,merchant_workbook_pivot_table!$B$2:$B$444,J258)&gt;5000),"High-Value Merchant Day",IF(AND(L258&lt;&gt;"East",SUMIFS(merchant_workbook_pivot_table!$D$2:$D$444,merchant_workbook_pivot_table!$C$2:$C$444,E258,merchant_workbook_pivot_table!$B$2:$B$444,J258)&gt;1000),"Mid-Value Merchant Day",""))</f>
        <v xml:space="preserve">Mid-Value Merchant Day</v>
      </c>
    </row>
    <row r="259">
      <c r="A259" s="3" t="s">
        <v>326</v>
      </c>
      <c r="B259" s="2">
        <v>71</v>
      </c>
      <c r="C259" s="2">
        <v>10</v>
      </c>
      <c r="D259" s="8" t="s">
        <v>879</v>
      </c>
      <c r="E259" s="6" t="str">
        <f t="shared" si="8"/>
        <v>2026-01-16</v>
      </c>
      <c r="F259" s="2">
        <v>49</v>
      </c>
      <c r="G259" s="3" t="s">
        <v>66</v>
      </c>
      <c r="H259" s="3" t="s">
        <v>64</v>
      </c>
      <c r="I259" s="2">
        <v>9</v>
      </c>
      <c r="J259" s="6" t="str">
        <f>_xlfn.IFNA(VLOOKUP(C259,merchants!$A$1:$D$41,2,0),"Merchant not found")</f>
        <v>Merchant_010</v>
      </c>
      <c r="K259" s="6" t="str">
        <f>_xlfn.IFNA(VLOOKUP(C259,merchants!$A$1:$D$41,3,0),"Merchant not found")</f>
        <v>grocery</v>
      </c>
      <c r="L259" s="6" t="str">
        <f>_xlfn.IFNA(VLOOKUP(C259,merchants!$A$1:$D$41,4,0),"Merchant not found")</f>
        <v>West</v>
      </c>
      <c r="M259" s="9">
        <f t="shared" si="9"/>
        <v>0</v>
      </c>
      <c r="N259" s="6" t="str">
        <f>IF(AND(L259&lt;&gt;"East",SUMIFS(merchant_workbook_pivot_table!$D$2:$D$444,merchant_workbook_pivot_table!$C$2:$C$444,E259,merchant_workbook_pivot_table!$B$2:$B$444,J259)&gt;5000),"High-Value Merchant Day",IF(AND(L259&lt;&gt;"East",SUMIFS(merchant_workbook_pivot_table!$D$2:$D$444,merchant_workbook_pivot_table!$C$2:$C$444,E259,merchant_workbook_pivot_table!$B$2:$B$444,J259)&gt;1000),"Mid-Value Merchant Day",""))</f>
        <v/>
      </c>
    </row>
    <row r="260">
      <c r="A260" s="3" t="s">
        <v>327</v>
      </c>
      <c r="B260" s="2">
        <v>277</v>
      </c>
      <c r="C260" s="2">
        <v>34</v>
      </c>
      <c r="D260" s="8" t="s">
        <v>880</v>
      </c>
      <c r="E260" s="6" t="str">
        <f t="shared" si="8"/>
        <v>2026-01-10</v>
      </c>
      <c r="F260" s="2">
        <v>49</v>
      </c>
      <c r="G260" s="3" t="s">
        <v>66</v>
      </c>
      <c r="H260" s="3" t="s">
        <v>64</v>
      </c>
      <c r="I260" s="2">
        <v>4</v>
      </c>
      <c r="J260" s="6" t="str">
        <f>_xlfn.IFNA(VLOOKUP(C260,merchants!$A$1:$D$41,2,0),"Merchant not found")</f>
        <v>Merchant_034</v>
      </c>
      <c r="K260" s="6" t="str">
        <f>_xlfn.IFNA(VLOOKUP(C260,merchants!$A$1:$D$41,3,0),"Merchant not found")</f>
        <v>travel</v>
      </c>
      <c r="L260" s="6" t="str">
        <f>_xlfn.IFNA(VLOOKUP(C260,merchants!$A$1:$D$41,4,0),"Merchant not found")</f>
        <v>South</v>
      </c>
      <c r="M260" s="9">
        <f t="shared" si="9"/>
        <v>0</v>
      </c>
      <c r="N260" s="6" t="str">
        <f>IF(AND(L260&lt;&gt;"East",SUMIFS(merchant_workbook_pivot_table!$D$2:$D$444,merchant_workbook_pivot_table!$C$2:$C$444,E260,merchant_workbook_pivot_table!$B$2:$B$444,J260)&gt;5000),"High-Value Merchant Day",IF(AND(L260&lt;&gt;"East",SUMIFS(merchant_workbook_pivot_table!$D$2:$D$444,merchant_workbook_pivot_table!$C$2:$C$444,E260,merchant_workbook_pivot_table!$B$2:$B$444,J260)&gt;1000),"Mid-Value Merchant Day",""))</f>
        <v/>
      </c>
    </row>
    <row r="261">
      <c r="A261" s="3" t="s">
        <v>328</v>
      </c>
      <c r="B261" s="2">
        <v>317</v>
      </c>
      <c r="C261" s="2">
        <v>9</v>
      </c>
      <c r="D261" s="8" t="s">
        <v>881</v>
      </c>
      <c r="E261" s="6" t="str">
        <f t="shared" si="8"/>
        <v>2026-01-22</v>
      </c>
      <c r="F261" s="2">
        <v>499</v>
      </c>
      <c r="G261" s="3" t="s">
        <v>63</v>
      </c>
      <c r="H261" s="3" t="s">
        <v>64</v>
      </c>
      <c r="I261" s="2">
        <v>76</v>
      </c>
      <c r="J261" s="6" t="str">
        <f>_xlfn.IFNA(VLOOKUP(C261,merchants!$A$1:$D$41,2,0),"Merchant not found")</f>
        <v>Merchant_009</v>
      </c>
      <c r="K261" s="6" t="str">
        <f>_xlfn.IFNA(VLOOKUP(C261,merchants!$A$1:$D$41,3,0),"Merchant not found")</f>
        <v>ecommerce</v>
      </c>
      <c r="L261" s="6" t="str">
        <f>_xlfn.IFNA(VLOOKUP(C261,merchants!$A$1:$D$41,4,0),"Merchant not found")</f>
        <v>North</v>
      </c>
      <c r="M261" s="9">
        <f t="shared" si="9"/>
        <v>7.4849999999999994</v>
      </c>
      <c r="N261" s="6" t="str">
        <f>IF(AND(L261&lt;&gt;"East",SUMIFS(merchant_workbook_pivot_table!$D$2:$D$444,merchant_workbook_pivot_table!$C$2:$C$444,E261,merchant_workbook_pivot_table!$B$2:$B$444,J261)&gt;5000),"High-Value Merchant Day",IF(AND(L261&lt;&gt;"East",SUMIFS(merchant_workbook_pivot_table!$D$2:$D$444,merchant_workbook_pivot_table!$C$2:$C$444,E261,merchant_workbook_pivot_table!$B$2:$B$444,J261)&gt;1000),"Mid-Value Merchant Day",""))</f>
        <v xml:space="preserve">Mid-Value Merchant Day</v>
      </c>
    </row>
    <row r="262">
      <c r="A262" s="3" t="s">
        <v>329</v>
      </c>
      <c r="B262" s="2">
        <v>93</v>
      </c>
      <c r="C262" s="2">
        <v>40</v>
      </c>
      <c r="D262" s="8" t="s">
        <v>882</v>
      </c>
      <c r="E262" s="6" t="str">
        <f t="shared" si="8"/>
        <v>2026-01-13</v>
      </c>
      <c r="F262" s="2">
        <v>299</v>
      </c>
      <c r="G262" s="3" t="s">
        <v>66</v>
      </c>
      <c r="H262" s="3" t="s">
        <v>64</v>
      </c>
      <c r="I262" s="2">
        <v>21</v>
      </c>
      <c r="J262" s="6" t="str">
        <f>_xlfn.IFNA(VLOOKUP(C262,merchants!$A$1:$D$41,2,0),"Merchant not found")</f>
        <v>Merchant_040</v>
      </c>
      <c r="K262" s="6" t="str">
        <f>_xlfn.IFNA(VLOOKUP(C262,merchants!$A$1:$D$41,3,0),"Merchant not found")</f>
        <v>entertainment</v>
      </c>
      <c r="L262" s="6" t="str">
        <f>_xlfn.IFNA(VLOOKUP(C262,merchants!$A$1:$D$41,4,0),"Merchant not found")</f>
        <v>South</v>
      </c>
      <c r="M262" s="9">
        <f t="shared" si="9"/>
        <v>0</v>
      </c>
      <c r="N262" s="6" t="str">
        <f>IF(AND(L262&lt;&gt;"East",SUMIFS(merchant_workbook_pivot_table!$D$2:$D$444,merchant_workbook_pivot_table!$C$2:$C$444,E262,merchant_workbook_pivot_table!$B$2:$B$444,J262)&gt;5000),"High-Value Merchant Day",IF(AND(L262&lt;&gt;"East",SUMIFS(merchant_workbook_pivot_table!$D$2:$D$444,merchant_workbook_pivot_table!$C$2:$C$444,E262,merchant_workbook_pivot_table!$B$2:$B$444,J262)&gt;1000),"Mid-Value Merchant Day",""))</f>
        <v/>
      </c>
    </row>
    <row r="263">
      <c r="A263" s="3" t="s">
        <v>330</v>
      </c>
      <c r="B263" s="2">
        <v>211</v>
      </c>
      <c r="C263" s="2">
        <v>24</v>
      </c>
      <c r="D263" s="8" t="s">
        <v>883</v>
      </c>
      <c r="E263" s="6" t="str">
        <f t="shared" si="8"/>
        <v>2026-01-24</v>
      </c>
      <c r="F263" s="2">
        <v>99</v>
      </c>
      <c r="G263" s="3" t="s">
        <v>69</v>
      </c>
      <c r="H263" s="3" t="s">
        <v>64</v>
      </c>
      <c r="I263" s="2">
        <v>86</v>
      </c>
      <c r="J263" s="6" t="str">
        <f>_xlfn.IFNA(VLOOKUP(C263,merchants!$A$1:$D$41,2,0),"Merchant not found")</f>
        <v>Merchant_024</v>
      </c>
      <c r="K263" s="6" t="str">
        <f>_xlfn.IFNA(VLOOKUP(C263,merchants!$A$1:$D$41,3,0),"Merchant not found")</f>
        <v>grocery</v>
      </c>
      <c r="L263" s="6" t="str">
        <f>_xlfn.IFNA(VLOOKUP(C263,merchants!$A$1:$D$41,4,0),"Merchant not found")</f>
        <v>North</v>
      </c>
      <c r="M263" s="9">
        <f t="shared" si="9"/>
        <v>0.98999999999999999</v>
      </c>
      <c r="N263" s="6" t="str">
        <f>IF(AND(L263&lt;&gt;"East",SUMIFS(merchant_workbook_pivot_table!$D$2:$D$444,merchant_workbook_pivot_table!$C$2:$C$444,E263,merchant_workbook_pivot_table!$B$2:$B$444,J263)&gt;5000),"High-Value Merchant Day",IF(AND(L263&lt;&gt;"East",SUMIFS(merchant_workbook_pivot_table!$D$2:$D$444,merchant_workbook_pivot_table!$C$2:$C$444,E263,merchant_workbook_pivot_table!$B$2:$B$444,J263)&gt;1000),"Mid-Value Merchant Day",""))</f>
        <v/>
      </c>
    </row>
    <row r="264">
      <c r="A264" s="3" t="s">
        <v>331</v>
      </c>
      <c r="B264" s="2">
        <v>313</v>
      </c>
      <c r="C264" s="2">
        <v>19</v>
      </c>
      <c r="D264" s="8" t="s">
        <v>884</v>
      </c>
      <c r="E264" s="6" t="str">
        <f t="shared" si="8"/>
        <v>2026-01-24</v>
      </c>
      <c r="F264" s="2">
        <v>149</v>
      </c>
      <c r="G264" s="3" t="s">
        <v>66</v>
      </c>
      <c r="H264" s="3" t="s">
        <v>64</v>
      </c>
      <c r="I264" s="2">
        <v>96</v>
      </c>
      <c r="J264" s="6" t="str">
        <f>_xlfn.IFNA(VLOOKUP(C264,merchants!$A$1:$D$41,2,0),"Merchant not found")</f>
        <v>Merchant_019</v>
      </c>
      <c r="K264" s="6" t="str">
        <f>_xlfn.IFNA(VLOOKUP(C264,merchants!$A$1:$D$41,3,0),"Merchant not found")</f>
        <v>grocery</v>
      </c>
      <c r="L264" s="6" t="str">
        <f>_xlfn.IFNA(VLOOKUP(C264,merchants!$A$1:$D$41,4,0),"Merchant not found")</f>
        <v>North</v>
      </c>
      <c r="M264" s="9">
        <f t="shared" si="9"/>
        <v>0</v>
      </c>
      <c r="N264" s="6" t="str">
        <f>IF(AND(L264&lt;&gt;"East",SUMIFS(merchant_workbook_pivot_table!$D$2:$D$444,merchant_workbook_pivot_table!$C$2:$C$444,E264,merchant_workbook_pivot_table!$B$2:$B$444,J264)&gt;5000),"High-Value Merchant Day",IF(AND(L264&lt;&gt;"East",SUMIFS(merchant_workbook_pivot_table!$D$2:$D$444,merchant_workbook_pivot_table!$C$2:$C$444,E264,merchant_workbook_pivot_table!$B$2:$B$444,J264)&gt;1000),"Mid-Value Merchant Day",""))</f>
        <v/>
      </c>
    </row>
    <row r="265">
      <c r="A265" s="3" t="s">
        <v>332</v>
      </c>
      <c r="B265" s="2">
        <v>274</v>
      </c>
      <c r="C265" s="2">
        <v>16</v>
      </c>
      <c r="D265" s="8" t="s">
        <v>885</v>
      </c>
      <c r="E265" s="6" t="str">
        <f t="shared" si="8"/>
        <v>2026-01-24</v>
      </c>
      <c r="F265" s="2">
        <v>49</v>
      </c>
      <c r="G265" s="3" t="s">
        <v>63</v>
      </c>
      <c r="H265" s="3" t="s">
        <v>79</v>
      </c>
      <c r="I265" s="2">
        <v>39</v>
      </c>
      <c r="J265" s="6" t="str">
        <f>_xlfn.IFNA(VLOOKUP(C265,merchants!$A$1:$D$41,2,0),"Merchant not found")</f>
        <v>Merchant_016</v>
      </c>
      <c r="K265" s="6" t="str">
        <f>_xlfn.IFNA(VLOOKUP(C265,merchants!$A$1:$D$41,3,0),"Merchant not found")</f>
        <v>bill_payment</v>
      </c>
      <c r="L265" s="6" t="str">
        <f>_xlfn.IFNA(VLOOKUP(C265,merchants!$A$1:$D$41,4,0),"Merchant not found")</f>
        <v>West</v>
      </c>
      <c r="M265" s="9">
        <f t="shared" si="9"/>
        <v>0.73499999999999999</v>
      </c>
      <c r="N265" s="6" t="str">
        <f>IF(AND(L265&lt;&gt;"East",SUMIFS(merchant_workbook_pivot_table!$D$2:$D$444,merchant_workbook_pivot_table!$C$2:$C$444,E265,merchant_workbook_pivot_table!$B$2:$B$444,J265)&gt;5000),"High-Value Merchant Day",IF(AND(L265&lt;&gt;"East",SUMIFS(merchant_workbook_pivot_table!$D$2:$D$444,merchant_workbook_pivot_table!$C$2:$C$444,E265,merchant_workbook_pivot_table!$B$2:$B$444,J265)&gt;1000),"Mid-Value Merchant Day",""))</f>
        <v xml:space="preserve">Mid-Value Merchant Day</v>
      </c>
    </row>
    <row r="266">
      <c r="A266" s="3" t="s">
        <v>333</v>
      </c>
      <c r="B266" s="2">
        <v>100</v>
      </c>
      <c r="C266" s="2">
        <v>24</v>
      </c>
      <c r="D266" s="8" t="s">
        <v>886</v>
      </c>
      <c r="E266" s="6" t="str">
        <f t="shared" si="8"/>
        <v>2026-01-26</v>
      </c>
      <c r="F266" s="2">
        <v>299</v>
      </c>
      <c r="G266" s="3" t="s">
        <v>66</v>
      </c>
      <c r="H266" s="3" t="s">
        <v>64</v>
      </c>
      <c r="I266" s="2">
        <v>86</v>
      </c>
      <c r="J266" s="6" t="str">
        <f>_xlfn.IFNA(VLOOKUP(C266,merchants!$A$1:$D$41,2,0),"Merchant not found")</f>
        <v>Merchant_024</v>
      </c>
      <c r="K266" s="6" t="str">
        <f>_xlfn.IFNA(VLOOKUP(C266,merchants!$A$1:$D$41,3,0),"Merchant not found")</f>
        <v>grocery</v>
      </c>
      <c r="L266" s="6" t="str">
        <f>_xlfn.IFNA(VLOOKUP(C266,merchants!$A$1:$D$41,4,0),"Merchant not found")</f>
        <v>North</v>
      </c>
      <c r="M266" s="9">
        <f t="shared" si="9"/>
        <v>0</v>
      </c>
      <c r="N266" s="6" t="str">
        <f>IF(AND(L266&lt;&gt;"East",SUMIFS(merchant_workbook_pivot_table!$D$2:$D$444,merchant_workbook_pivot_table!$C$2:$C$444,E266,merchant_workbook_pivot_table!$B$2:$B$444,J266)&gt;5000),"High-Value Merchant Day",IF(AND(L266&lt;&gt;"East",SUMIFS(merchant_workbook_pivot_table!$D$2:$D$444,merchant_workbook_pivot_table!$C$2:$C$444,E266,merchant_workbook_pivot_table!$B$2:$B$444,J266)&gt;1000),"Mid-Value Merchant Day",""))</f>
        <v/>
      </c>
    </row>
    <row r="267">
      <c r="A267" s="3" t="s">
        <v>334</v>
      </c>
      <c r="B267" s="2">
        <v>145</v>
      </c>
      <c r="C267" s="2">
        <v>25</v>
      </c>
      <c r="D267" s="8" t="s">
        <v>887</v>
      </c>
      <c r="E267" s="6" t="str">
        <f t="shared" si="8"/>
        <v>2026-01-19</v>
      </c>
      <c r="F267" s="2">
        <v>2999</v>
      </c>
      <c r="G267" s="3" t="s">
        <v>63</v>
      </c>
      <c r="H267" s="3" t="s">
        <v>64</v>
      </c>
      <c r="I267" s="2">
        <v>64</v>
      </c>
      <c r="J267" s="6" t="str">
        <f>_xlfn.IFNA(VLOOKUP(C267,merchants!$A$1:$D$41,2,0),"Merchant not found")</f>
        <v>Merchant_025</v>
      </c>
      <c r="K267" s="6" t="str">
        <f>_xlfn.IFNA(VLOOKUP(C267,merchants!$A$1:$D$41,3,0),"Merchant not found")</f>
        <v>travel</v>
      </c>
      <c r="L267" s="6" t="str">
        <f>_xlfn.IFNA(VLOOKUP(C267,merchants!$A$1:$D$41,4,0),"Merchant not found")</f>
        <v>South</v>
      </c>
      <c r="M267" s="9">
        <f t="shared" si="9"/>
        <v>44.984999999999999</v>
      </c>
      <c r="N267" s="6" t="str">
        <f>IF(AND(L267&lt;&gt;"East",SUMIFS(merchant_workbook_pivot_table!$D$2:$D$444,merchant_workbook_pivot_table!$C$2:$C$444,E267,merchant_workbook_pivot_table!$B$2:$B$444,J267)&gt;5000),"High-Value Merchant Day",IF(AND(L267&lt;&gt;"East",SUMIFS(merchant_workbook_pivot_table!$D$2:$D$444,merchant_workbook_pivot_table!$C$2:$C$444,E267,merchant_workbook_pivot_table!$B$2:$B$444,J267)&gt;1000),"Mid-Value Merchant Day",""))</f>
        <v xml:space="preserve">Mid-Value Merchant Day</v>
      </c>
    </row>
    <row r="268">
      <c r="A268" s="3" t="s">
        <v>335</v>
      </c>
      <c r="B268" s="2">
        <v>103</v>
      </c>
      <c r="C268" s="2">
        <v>39</v>
      </c>
      <c r="D268" s="8" t="s">
        <v>888</v>
      </c>
      <c r="E268" s="6" t="str">
        <f t="shared" si="8"/>
        <v>2026-01-17</v>
      </c>
      <c r="F268" s="2">
        <v>2999</v>
      </c>
      <c r="G268" s="3" t="s">
        <v>63</v>
      </c>
      <c r="H268" s="3" t="s">
        <v>64</v>
      </c>
      <c r="I268" s="2">
        <v>17</v>
      </c>
      <c r="J268" s="6" t="str">
        <f>_xlfn.IFNA(VLOOKUP(C268,merchants!$A$1:$D$41,2,0),"Merchant not found")</f>
        <v>Merchant_039</v>
      </c>
      <c r="K268" s="6" t="str">
        <f>_xlfn.IFNA(VLOOKUP(C268,merchants!$A$1:$D$41,3,0),"Merchant not found")</f>
        <v>entertainment</v>
      </c>
      <c r="L268" s="6" t="str">
        <f>_xlfn.IFNA(VLOOKUP(C268,merchants!$A$1:$D$41,4,0),"Merchant not found")</f>
        <v>North</v>
      </c>
      <c r="M268" s="9">
        <f t="shared" si="9"/>
        <v>44.984999999999999</v>
      </c>
      <c r="N268" s="6" t="str">
        <f>IF(AND(L268&lt;&gt;"East",SUMIFS(merchant_workbook_pivot_table!$D$2:$D$444,merchant_workbook_pivot_table!$C$2:$C$444,E268,merchant_workbook_pivot_table!$B$2:$B$444,J268)&gt;5000),"High-Value Merchant Day",IF(AND(L268&lt;&gt;"East",SUMIFS(merchant_workbook_pivot_table!$D$2:$D$444,merchant_workbook_pivot_table!$C$2:$C$444,E268,merchant_workbook_pivot_table!$B$2:$B$444,J268)&gt;1000),"Mid-Value Merchant Day",""))</f>
        <v xml:space="preserve">Mid-Value Merchant Day</v>
      </c>
    </row>
    <row r="269">
      <c r="A269" s="3" t="s">
        <v>336</v>
      </c>
      <c r="B269" s="2">
        <v>329</v>
      </c>
      <c r="C269" s="2">
        <v>31</v>
      </c>
      <c r="D269" s="8" t="s">
        <v>889</v>
      </c>
      <c r="E269" s="6" t="str">
        <f t="shared" si="8"/>
        <v>2026-01-28</v>
      </c>
      <c r="F269" s="2">
        <v>299</v>
      </c>
      <c r="G269" s="3" t="s">
        <v>63</v>
      </c>
      <c r="H269" s="3" t="s">
        <v>64</v>
      </c>
      <c r="I269" s="2">
        <v>47</v>
      </c>
      <c r="J269" s="6" t="str">
        <f>_xlfn.IFNA(VLOOKUP(C269,merchants!$A$1:$D$41,2,0),"Merchant not found")</f>
        <v>Merchant_031</v>
      </c>
      <c r="K269" s="6" t="str">
        <f>_xlfn.IFNA(VLOOKUP(C269,merchants!$A$1:$D$41,3,0),"Merchant not found")</f>
        <v>bill_payment</v>
      </c>
      <c r="L269" s="6" t="str">
        <f>_xlfn.IFNA(VLOOKUP(C269,merchants!$A$1:$D$41,4,0),"Merchant not found")</f>
        <v>East</v>
      </c>
      <c r="M269" s="9">
        <f t="shared" si="9"/>
        <v>4.4849999999999994</v>
      </c>
      <c r="N269" s="6" t="str">
        <f>IF(AND(L269&lt;&gt;"East",SUMIFS(merchant_workbook_pivot_table!$D$2:$D$444,merchant_workbook_pivot_table!$C$2:$C$444,E269,merchant_workbook_pivot_table!$B$2:$B$444,J269)&gt;5000),"High-Value Merchant Day",IF(AND(L269&lt;&gt;"East",SUMIFS(merchant_workbook_pivot_table!$D$2:$D$444,merchant_workbook_pivot_table!$C$2:$C$444,E269,merchant_workbook_pivot_table!$B$2:$B$444,J269)&gt;1000),"Mid-Value Merchant Day",""))</f>
        <v/>
      </c>
    </row>
    <row r="270">
      <c r="A270" s="3" t="s">
        <v>337</v>
      </c>
      <c r="B270" s="2">
        <v>265</v>
      </c>
      <c r="C270" s="2">
        <v>8</v>
      </c>
      <c r="D270" s="8" t="s">
        <v>890</v>
      </c>
      <c r="E270" s="6" t="str">
        <f t="shared" si="8"/>
        <v>2026-01-18</v>
      </c>
      <c r="F270" s="2">
        <v>499</v>
      </c>
      <c r="G270" s="3" t="s">
        <v>69</v>
      </c>
      <c r="H270" s="3" t="s">
        <v>64</v>
      </c>
      <c r="I270" s="2">
        <v>36</v>
      </c>
      <c r="J270" s="6" t="str">
        <f>_xlfn.IFNA(VLOOKUP(C270,merchants!$A$1:$D$41,2,0),"Merchant not found")</f>
        <v>Merchant_008</v>
      </c>
      <c r="K270" s="6" t="str">
        <f>_xlfn.IFNA(VLOOKUP(C270,merchants!$A$1:$D$41,3,0),"Merchant not found")</f>
        <v>food_delivery</v>
      </c>
      <c r="L270" s="6" t="str">
        <f>_xlfn.IFNA(VLOOKUP(C270,merchants!$A$1:$D$41,4,0),"Merchant not found")</f>
        <v>North</v>
      </c>
      <c r="M270" s="9">
        <f t="shared" si="9"/>
        <v>4.9900000000000002</v>
      </c>
      <c r="N270" s="6" t="str">
        <f>IF(AND(L270&lt;&gt;"East",SUMIFS(merchant_workbook_pivot_table!$D$2:$D$444,merchant_workbook_pivot_table!$C$2:$C$444,E270,merchant_workbook_pivot_table!$B$2:$B$444,J270)&gt;5000),"High-Value Merchant Day",IF(AND(L270&lt;&gt;"East",SUMIFS(merchant_workbook_pivot_table!$D$2:$D$444,merchant_workbook_pivot_table!$C$2:$C$444,E270,merchant_workbook_pivot_table!$B$2:$B$444,J270)&gt;1000),"Mid-Value Merchant Day",""))</f>
        <v/>
      </c>
    </row>
    <row r="271">
      <c r="A271" s="3" t="s">
        <v>338</v>
      </c>
      <c r="B271" s="2">
        <v>231</v>
      </c>
      <c r="C271" s="2">
        <v>33</v>
      </c>
      <c r="D271" s="8" t="s">
        <v>891</v>
      </c>
      <c r="E271" s="6" t="str">
        <f t="shared" si="8"/>
        <v>2026-01-03</v>
      </c>
      <c r="F271" s="2">
        <v>149</v>
      </c>
      <c r="G271" s="3" t="s">
        <v>66</v>
      </c>
      <c r="H271" s="3" t="s">
        <v>79</v>
      </c>
      <c r="I271" s="2">
        <v>18</v>
      </c>
      <c r="J271" s="6" t="str">
        <f>_xlfn.IFNA(VLOOKUP(C271,merchants!$A$1:$D$41,2,0),"Merchant not found")</f>
        <v>Merchant_033</v>
      </c>
      <c r="K271" s="6" t="str">
        <f>_xlfn.IFNA(VLOOKUP(C271,merchants!$A$1:$D$41,3,0),"Merchant not found")</f>
        <v>bill_payment</v>
      </c>
      <c r="L271" s="6" t="str">
        <f>_xlfn.IFNA(VLOOKUP(C271,merchants!$A$1:$D$41,4,0),"Merchant not found")</f>
        <v>East</v>
      </c>
      <c r="M271" s="9">
        <f t="shared" si="9"/>
        <v>0</v>
      </c>
      <c r="N271" s="6" t="str">
        <f>IF(AND(L271&lt;&gt;"East",SUMIFS(merchant_workbook_pivot_table!$D$2:$D$444,merchant_workbook_pivot_table!$C$2:$C$444,E271,merchant_workbook_pivot_table!$B$2:$B$444,J271)&gt;5000),"High-Value Merchant Day",IF(AND(L271&lt;&gt;"East",SUMIFS(merchant_workbook_pivot_table!$D$2:$D$444,merchant_workbook_pivot_table!$C$2:$C$444,E271,merchant_workbook_pivot_table!$B$2:$B$444,J271)&gt;1000),"Mid-Value Merchant Day",""))</f>
        <v/>
      </c>
    </row>
    <row r="272">
      <c r="A272" s="3" t="s">
        <v>339</v>
      </c>
      <c r="B272" s="2">
        <v>114</v>
      </c>
      <c r="C272" s="2">
        <v>29</v>
      </c>
      <c r="D272" s="8" t="s">
        <v>892</v>
      </c>
      <c r="E272" s="6" t="str">
        <f t="shared" si="8"/>
        <v>2026-01-27</v>
      </c>
      <c r="F272" s="2">
        <v>799</v>
      </c>
      <c r="G272" s="3" t="s">
        <v>66</v>
      </c>
      <c r="H272" s="3" t="s">
        <v>92</v>
      </c>
      <c r="I272" s="2">
        <v>44</v>
      </c>
      <c r="J272" s="6" t="str">
        <f>_xlfn.IFNA(VLOOKUP(C272,merchants!$A$1:$D$41,2,0),"Merchant not found")</f>
        <v>Merchant_029</v>
      </c>
      <c r="K272" s="6" t="str">
        <f>_xlfn.IFNA(VLOOKUP(C272,merchants!$A$1:$D$41,3,0),"Merchant not found")</f>
        <v>ecommerce</v>
      </c>
      <c r="L272" s="6" t="str">
        <f>_xlfn.IFNA(VLOOKUP(C272,merchants!$A$1:$D$41,4,0),"Merchant not found")</f>
        <v>North</v>
      </c>
      <c r="M272" s="9">
        <f t="shared" si="9"/>
        <v>0</v>
      </c>
      <c r="N272" s="6" t="str">
        <f>IF(AND(L272&lt;&gt;"East",SUMIFS(merchant_workbook_pivot_table!$D$2:$D$444,merchant_workbook_pivot_table!$C$2:$C$444,E272,merchant_workbook_pivot_table!$B$2:$B$444,J272)&gt;5000),"High-Value Merchant Day",IF(AND(L272&lt;&gt;"East",SUMIFS(merchant_workbook_pivot_table!$D$2:$D$444,merchant_workbook_pivot_table!$C$2:$C$444,E272,merchant_workbook_pivot_table!$B$2:$B$444,J272)&gt;1000),"Mid-Value Merchant Day",""))</f>
        <v/>
      </c>
    </row>
    <row r="273">
      <c r="A273" s="3" t="s">
        <v>340</v>
      </c>
      <c r="B273" s="2">
        <v>28</v>
      </c>
      <c r="C273" s="2">
        <v>26</v>
      </c>
      <c r="D273" s="8" t="s">
        <v>893</v>
      </c>
      <c r="E273" s="6" t="str">
        <f t="shared" si="8"/>
        <v>2026-01-30</v>
      </c>
      <c r="F273" s="2">
        <v>1499</v>
      </c>
      <c r="G273" s="3" t="s">
        <v>66</v>
      </c>
      <c r="H273" s="3" t="s">
        <v>79</v>
      </c>
      <c r="I273" s="2">
        <v>64</v>
      </c>
      <c r="J273" s="6" t="str">
        <f>_xlfn.IFNA(VLOOKUP(C273,merchants!$A$1:$D$41,2,0),"Merchant not found")</f>
        <v>Merchant_026</v>
      </c>
      <c r="K273" s="6" t="str">
        <f>_xlfn.IFNA(VLOOKUP(C273,merchants!$A$1:$D$41,3,0),"Merchant not found")</f>
        <v>food_delivery</v>
      </c>
      <c r="L273" s="6" t="str">
        <f>_xlfn.IFNA(VLOOKUP(C273,merchants!$A$1:$D$41,4,0),"Merchant not found")</f>
        <v>East</v>
      </c>
      <c r="M273" s="9">
        <f t="shared" si="9"/>
        <v>0</v>
      </c>
      <c r="N273" s="6" t="str">
        <f>IF(AND(L273&lt;&gt;"East",SUMIFS(merchant_workbook_pivot_table!$D$2:$D$444,merchant_workbook_pivot_table!$C$2:$C$444,E273,merchant_workbook_pivot_table!$B$2:$B$444,J273)&gt;5000),"High-Value Merchant Day",IF(AND(L273&lt;&gt;"East",SUMIFS(merchant_workbook_pivot_table!$D$2:$D$444,merchant_workbook_pivot_table!$C$2:$C$444,E273,merchant_workbook_pivot_table!$B$2:$B$444,J273)&gt;1000),"Mid-Value Merchant Day",""))</f>
        <v/>
      </c>
    </row>
    <row r="274">
      <c r="A274" s="3" t="s">
        <v>341</v>
      </c>
      <c r="B274" s="2">
        <v>42</v>
      </c>
      <c r="C274" s="2">
        <v>24</v>
      </c>
      <c r="D274" s="8" t="s">
        <v>894</v>
      </c>
      <c r="E274" s="6" t="str">
        <f t="shared" si="8"/>
        <v>2026-01-12</v>
      </c>
      <c r="F274" s="2">
        <v>149</v>
      </c>
      <c r="G274" s="3" t="s">
        <v>66</v>
      </c>
      <c r="H274" s="3" t="s">
        <v>64</v>
      </c>
      <c r="I274" s="2">
        <v>28</v>
      </c>
      <c r="J274" s="6" t="str">
        <f>_xlfn.IFNA(VLOOKUP(C274,merchants!$A$1:$D$41,2,0),"Merchant not found")</f>
        <v>Merchant_024</v>
      </c>
      <c r="K274" s="6" t="str">
        <f>_xlfn.IFNA(VLOOKUP(C274,merchants!$A$1:$D$41,3,0),"Merchant not found")</f>
        <v>grocery</v>
      </c>
      <c r="L274" s="6" t="str">
        <f>_xlfn.IFNA(VLOOKUP(C274,merchants!$A$1:$D$41,4,0),"Merchant not found")</f>
        <v>North</v>
      </c>
      <c r="M274" s="9">
        <f t="shared" si="9"/>
        <v>0</v>
      </c>
      <c r="N274" s="6" t="str">
        <f>IF(AND(L274&lt;&gt;"East",SUMIFS(merchant_workbook_pivot_table!$D$2:$D$444,merchant_workbook_pivot_table!$C$2:$C$444,E274,merchant_workbook_pivot_table!$B$2:$B$444,J274)&gt;5000),"High-Value Merchant Day",IF(AND(L274&lt;&gt;"East",SUMIFS(merchant_workbook_pivot_table!$D$2:$D$444,merchant_workbook_pivot_table!$C$2:$C$444,E274,merchant_workbook_pivot_table!$B$2:$B$444,J274)&gt;1000),"Mid-Value Merchant Day",""))</f>
        <v/>
      </c>
    </row>
    <row r="275">
      <c r="A275" s="3" t="s">
        <v>342</v>
      </c>
      <c r="B275" s="2">
        <v>51</v>
      </c>
      <c r="C275" s="2">
        <v>22</v>
      </c>
      <c r="D275" s="8" t="s">
        <v>895</v>
      </c>
      <c r="E275" s="6" t="str">
        <f t="shared" si="8"/>
        <v>2026-01-01</v>
      </c>
      <c r="F275" s="2">
        <v>799</v>
      </c>
      <c r="G275" s="3" t="s">
        <v>66</v>
      </c>
      <c r="H275" s="3" t="s">
        <v>64</v>
      </c>
      <c r="I275" s="2">
        <v>18</v>
      </c>
      <c r="J275" s="6" t="str">
        <f>_xlfn.IFNA(VLOOKUP(C275,merchants!$A$1:$D$41,2,0),"Merchant not found")</f>
        <v>Merchant_022</v>
      </c>
      <c r="K275" s="6" t="str">
        <f>_xlfn.IFNA(VLOOKUP(C275,merchants!$A$1:$D$41,3,0),"Merchant not found")</f>
        <v>travel</v>
      </c>
      <c r="L275" s="6" t="str">
        <f>_xlfn.IFNA(VLOOKUP(C275,merchants!$A$1:$D$41,4,0),"Merchant not found")</f>
        <v>South</v>
      </c>
      <c r="M275" s="9">
        <f t="shared" si="9"/>
        <v>0</v>
      </c>
      <c r="N275" s="6" t="str">
        <f>IF(AND(L275&lt;&gt;"East",SUMIFS(merchant_workbook_pivot_table!$D$2:$D$444,merchant_workbook_pivot_table!$C$2:$C$444,E275,merchant_workbook_pivot_table!$B$2:$B$444,J275)&gt;5000),"High-Value Merchant Day",IF(AND(L275&lt;&gt;"East",SUMIFS(merchant_workbook_pivot_table!$D$2:$D$444,merchant_workbook_pivot_table!$C$2:$C$444,E275,merchant_workbook_pivot_table!$B$2:$B$444,J275)&gt;1000),"Mid-Value Merchant Day",""))</f>
        <v/>
      </c>
    </row>
    <row r="276">
      <c r="A276" s="3" t="s">
        <v>343</v>
      </c>
      <c r="B276" s="2">
        <v>242</v>
      </c>
      <c r="C276" s="2">
        <v>9</v>
      </c>
      <c r="D276" s="8" t="s">
        <v>896</v>
      </c>
      <c r="E276" s="6" t="str">
        <f t="shared" si="8"/>
        <v>2026-01-05</v>
      </c>
      <c r="F276" s="2">
        <v>149</v>
      </c>
      <c r="G276" s="3" t="s">
        <v>66</v>
      </c>
      <c r="H276" s="3" t="s">
        <v>64</v>
      </c>
      <c r="I276" s="2">
        <v>97</v>
      </c>
      <c r="J276" s="6" t="str">
        <f>_xlfn.IFNA(VLOOKUP(C276,merchants!$A$1:$D$41,2,0),"Merchant not found")</f>
        <v>Merchant_009</v>
      </c>
      <c r="K276" s="6" t="str">
        <f>_xlfn.IFNA(VLOOKUP(C276,merchants!$A$1:$D$41,3,0),"Merchant not found")</f>
        <v>ecommerce</v>
      </c>
      <c r="L276" s="6" t="str">
        <f>_xlfn.IFNA(VLOOKUP(C276,merchants!$A$1:$D$41,4,0),"Merchant not found")</f>
        <v>North</v>
      </c>
      <c r="M276" s="9">
        <f t="shared" si="9"/>
        <v>0</v>
      </c>
      <c r="N276" s="6" t="str">
        <f>IF(AND(L276&lt;&gt;"East",SUMIFS(merchant_workbook_pivot_table!$D$2:$D$444,merchant_workbook_pivot_table!$C$2:$C$444,E276,merchant_workbook_pivot_table!$B$2:$B$444,J276)&gt;5000),"High-Value Merchant Day",IF(AND(L276&lt;&gt;"East",SUMIFS(merchant_workbook_pivot_table!$D$2:$D$444,merchant_workbook_pivot_table!$C$2:$C$444,E276,merchant_workbook_pivot_table!$B$2:$B$444,J276)&gt;1000),"Mid-Value Merchant Day",""))</f>
        <v/>
      </c>
    </row>
    <row r="277">
      <c r="A277" s="3" t="s">
        <v>344</v>
      </c>
      <c r="B277" s="2">
        <v>316</v>
      </c>
      <c r="C277" s="2">
        <v>1</v>
      </c>
      <c r="D277" s="8" t="s">
        <v>897</v>
      </c>
      <c r="E277" s="6" t="str">
        <f t="shared" si="8"/>
        <v>2026-01-23</v>
      </c>
      <c r="F277" s="2">
        <v>149</v>
      </c>
      <c r="G277" s="3" t="s">
        <v>66</v>
      </c>
      <c r="H277" s="3" t="s">
        <v>64</v>
      </c>
      <c r="I277" s="2">
        <v>10</v>
      </c>
      <c r="J277" s="6" t="str">
        <f>_xlfn.IFNA(VLOOKUP(C277,merchants!$A$1:$D$41,2,0),"Merchant not found")</f>
        <v>Merchant_001</v>
      </c>
      <c r="K277" s="6" t="str">
        <f>_xlfn.IFNA(VLOOKUP(C277,merchants!$A$1:$D$41,3,0),"Merchant not found")</f>
        <v>ecommerce</v>
      </c>
      <c r="L277" s="6" t="str">
        <f>_xlfn.IFNA(VLOOKUP(C277,merchants!$A$1:$D$41,4,0),"Merchant not found")</f>
        <v>South</v>
      </c>
      <c r="M277" s="9">
        <f t="shared" si="9"/>
        <v>0</v>
      </c>
      <c r="N277" s="6" t="str">
        <f>IF(AND(L277&lt;&gt;"East",SUMIFS(merchant_workbook_pivot_table!$D$2:$D$444,merchant_workbook_pivot_table!$C$2:$C$444,E277,merchant_workbook_pivot_table!$B$2:$B$444,J277)&gt;5000),"High-Value Merchant Day",IF(AND(L277&lt;&gt;"East",SUMIFS(merchant_workbook_pivot_table!$D$2:$D$444,merchant_workbook_pivot_table!$C$2:$C$444,E277,merchant_workbook_pivot_table!$B$2:$B$444,J277)&gt;1000),"Mid-Value Merchant Day",""))</f>
        <v xml:space="preserve">Mid-Value Merchant Day</v>
      </c>
    </row>
    <row r="278">
      <c r="A278" s="3" t="s">
        <v>345</v>
      </c>
      <c r="B278" s="2">
        <v>77</v>
      </c>
      <c r="C278" s="2">
        <v>36</v>
      </c>
      <c r="D278" s="8" t="s">
        <v>898</v>
      </c>
      <c r="E278" s="6" t="str">
        <f t="shared" si="8"/>
        <v>2026-01-01</v>
      </c>
      <c r="F278" s="2">
        <v>149</v>
      </c>
      <c r="G278" s="3" t="s">
        <v>66</v>
      </c>
      <c r="H278" s="3" t="s">
        <v>64</v>
      </c>
      <c r="I278" s="2">
        <v>93</v>
      </c>
      <c r="J278" s="6" t="str">
        <f>_xlfn.IFNA(VLOOKUP(C278,merchants!$A$1:$D$41,2,0),"Merchant not found")</f>
        <v>Merchant_036</v>
      </c>
      <c r="K278" s="6" t="str">
        <f>_xlfn.IFNA(VLOOKUP(C278,merchants!$A$1:$D$41,3,0),"Merchant not found")</f>
        <v>entertainment</v>
      </c>
      <c r="L278" s="6" t="str">
        <f>_xlfn.IFNA(VLOOKUP(C278,merchants!$A$1:$D$41,4,0),"Merchant not found")</f>
        <v>East</v>
      </c>
      <c r="M278" s="9">
        <f t="shared" si="9"/>
        <v>0</v>
      </c>
      <c r="N278" s="6" t="str">
        <f>IF(AND(L278&lt;&gt;"East",SUMIFS(merchant_workbook_pivot_table!$D$2:$D$444,merchant_workbook_pivot_table!$C$2:$C$444,E278,merchant_workbook_pivot_table!$B$2:$B$444,J278)&gt;5000),"High-Value Merchant Day",IF(AND(L278&lt;&gt;"East",SUMIFS(merchant_workbook_pivot_table!$D$2:$D$444,merchant_workbook_pivot_table!$C$2:$C$444,E278,merchant_workbook_pivot_table!$B$2:$B$444,J278)&gt;1000),"Mid-Value Merchant Day",""))</f>
        <v/>
      </c>
    </row>
    <row r="279">
      <c r="A279" s="3" t="s">
        <v>346</v>
      </c>
      <c r="B279" s="2">
        <v>57</v>
      </c>
      <c r="C279" s="2">
        <v>19</v>
      </c>
      <c r="D279" s="8" t="s">
        <v>899</v>
      </c>
      <c r="E279" s="6" t="str">
        <f t="shared" si="8"/>
        <v>2026-01-20</v>
      </c>
      <c r="F279" s="2">
        <v>49</v>
      </c>
      <c r="G279" s="3" t="s">
        <v>66</v>
      </c>
      <c r="H279" s="3" t="s">
        <v>64</v>
      </c>
      <c r="I279" s="2">
        <v>30</v>
      </c>
      <c r="J279" s="6" t="str">
        <f>_xlfn.IFNA(VLOOKUP(C279,merchants!$A$1:$D$41,2,0),"Merchant not found")</f>
        <v>Merchant_019</v>
      </c>
      <c r="K279" s="6" t="str">
        <f>_xlfn.IFNA(VLOOKUP(C279,merchants!$A$1:$D$41,3,0),"Merchant not found")</f>
        <v>grocery</v>
      </c>
      <c r="L279" s="6" t="str">
        <f>_xlfn.IFNA(VLOOKUP(C279,merchants!$A$1:$D$41,4,0),"Merchant not found")</f>
        <v>North</v>
      </c>
      <c r="M279" s="9">
        <f t="shared" si="9"/>
        <v>0</v>
      </c>
      <c r="N279" s="6" t="str">
        <f>IF(AND(L279&lt;&gt;"East",SUMIFS(merchant_workbook_pivot_table!$D$2:$D$444,merchant_workbook_pivot_table!$C$2:$C$444,E279,merchant_workbook_pivot_table!$B$2:$B$444,J279)&gt;5000),"High-Value Merchant Day",IF(AND(L279&lt;&gt;"East",SUMIFS(merchant_workbook_pivot_table!$D$2:$D$444,merchant_workbook_pivot_table!$C$2:$C$444,E279,merchant_workbook_pivot_table!$B$2:$B$444,J279)&gt;1000),"Mid-Value Merchant Day",""))</f>
        <v/>
      </c>
    </row>
    <row r="280">
      <c r="A280" s="3" t="s">
        <v>347</v>
      </c>
      <c r="B280" s="2">
        <v>123</v>
      </c>
      <c r="C280" s="2">
        <v>27</v>
      </c>
      <c r="D280" s="8" t="s">
        <v>900</v>
      </c>
      <c r="E280" s="6" t="str">
        <f t="shared" si="8"/>
        <v>2026-01-10</v>
      </c>
      <c r="F280" s="2">
        <v>149</v>
      </c>
      <c r="G280" s="3" t="s">
        <v>69</v>
      </c>
      <c r="H280" s="3" t="s">
        <v>64</v>
      </c>
      <c r="I280" s="2">
        <v>81</v>
      </c>
      <c r="J280" s="6" t="str">
        <f>_xlfn.IFNA(VLOOKUP(C280,merchants!$A$1:$D$41,2,0),"Merchant not found")</f>
        <v>Merchant_027</v>
      </c>
      <c r="K280" s="6" t="str">
        <f>_xlfn.IFNA(VLOOKUP(C280,merchants!$A$1:$D$41,3,0),"Merchant not found")</f>
        <v>ecommerce</v>
      </c>
      <c r="L280" s="6" t="str">
        <f>_xlfn.IFNA(VLOOKUP(C280,merchants!$A$1:$D$41,4,0),"Merchant not found")</f>
        <v>North</v>
      </c>
      <c r="M280" s="9">
        <f t="shared" si="9"/>
        <v>1.49</v>
      </c>
      <c r="N280" s="6" t="str">
        <f>IF(AND(L280&lt;&gt;"East",SUMIFS(merchant_workbook_pivot_table!$D$2:$D$444,merchant_workbook_pivot_table!$C$2:$C$444,E280,merchant_workbook_pivot_table!$B$2:$B$444,J280)&gt;5000),"High-Value Merchant Day",IF(AND(L280&lt;&gt;"East",SUMIFS(merchant_workbook_pivot_table!$D$2:$D$444,merchant_workbook_pivot_table!$C$2:$C$444,E280,merchant_workbook_pivot_table!$B$2:$B$444,J280)&gt;1000),"Mid-Value Merchant Day",""))</f>
        <v/>
      </c>
    </row>
    <row r="281">
      <c r="A281" s="3" t="s">
        <v>348</v>
      </c>
      <c r="B281" s="2">
        <v>33</v>
      </c>
      <c r="C281" s="2">
        <v>8</v>
      </c>
      <c r="D281" s="8" t="s">
        <v>901</v>
      </c>
      <c r="E281" s="6" t="str">
        <f t="shared" si="8"/>
        <v>2026-01-26</v>
      </c>
      <c r="F281" s="2">
        <v>299</v>
      </c>
      <c r="G281" s="3" t="s">
        <v>63</v>
      </c>
      <c r="H281" s="3" t="s">
        <v>64</v>
      </c>
      <c r="I281" s="2">
        <v>63</v>
      </c>
      <c r="J281" s="6" t="str">
        <f>_xlfn.IFNA(VLOOKUP(C281,merchants!$A$1:$D$41,2,0),"Merchant not found")</f>
        <v>Merchant_008</v>
      </c>
      <c r="K281" s="6" t="str">
        <f>_xlfn.IFNA(VLOOKUP(C281,merchants!$A$1:$D$41,3,0),"Merchant not found")</f>
        <v>food_delivery</v>
      </c>
      <c r="L281" s="6" t="str">
        <f>_xlfn.IFNA(VLOOKUP(C281,merchants!$A$1:$D$41,4,0),"Merchant not found")</f>
        <v>North</v>
      </c>
      <c r="M281" s="9">
        <f t="shared" si="9"/>
        <v>4.4849999999999994</v>
      </c>
      <c r="N281" s="6" t="str">
        <f>IF(AND(L281&lt;&gt;"East",SUMIFS(merchant_workbook_pivot_table!$D$2:$D$444,merchant_workbook_pivot_table!$C$2:$C$444,E281,merchant_workbook_pivot_table!$B$2:$B$444,J281)&gt;5000),"High-Value Merchant Day",IF(AND(L281&lt;&gt;"East",SUMIFS(merchant_workbook_pivot_table!$D$2:$D$444,merchant_workbook_pivot_table!$C$2:$C$444,E281,merchant_workbook_pivot_table!$B$2:$B$444,J281)&gt;1000),"Mid-Value Merchant Day",""))</f>
        <v/>
      </c>
    </row>
    <row r="282">
      <c r="A282" s="3" t="s">
        <v>349</v>
      </c>
      <c r="B282" s="2">
        <v>324</v>
      </c>
      <c r="C282" s="2">
        <v>33</v>
      </c>
      <c r="D282" s="8" t="s">
        <v>902</v>
      </c>
      <c r="E282" s="6" t="str">
        <f t="shared" si="8"/>
        <v>2026-01-20</v>
      </c>
      <c r="F282" s="2">
        <v>499</v>
      </c>
      <c r="G282" s="3" t="s">
        <v>66</v>
      </c>
      <c r="H282" s="3" t="s">
        <v>64</v>
      </c>
      <c r="I282" s="2">
        <v>73</v>
      </c>
      <c r="J282" s="6" t="str">
        <f>_xlfn.IFNA(VLOOKUP(C282,merchants!$A$1:$D$41,2,0),"Merchant not found")</f>
        <v>Merchant_033</v>
      </c>
      <c r="K282" s="6" t="str">
        <f>_xlfn.IFNA(VLOOKUP(C282,merchants!$A$1:$D$41,3,0),"Merchant not found")</f>
        <v>bill_payment</v>
      </c>
      <c r="L282" s="6" t="str">
        <f>_xlfn.IFNA(VLOOKUP(C282,merchants!$A$1:$D$41,4,0),"Merchant not found")</f>
        <v>East</v>
      </c>
      <c r="M282" s="9">
        <f t="shared" si="9"/>
        <v>0</v>
      </c>
      <c r="N282" s="6" t="str">
        <f>IF(AND(L282&lt;&gt;"East",SUMIFS(merchant_workbook_pivot_table!$D$2:$D$444,merchant_workbook_pivot_table!$C$2:$C$444,E282,merchant_workbook_pivot_table!$B$2:$B$444,J282)&gt;5000),"High-Value Merchant Day",IF(AND(L282&lt;&gt;"East",SUMIFS(merchant_workbook_pivot_table!$D$2:$D$444,merchant_workbook_pivot_table!$C$2:$C$444,E282,merchant_workbook_pivot_table!$B$2:$B$444,J282)&gt;1000),"Mid-Value Merchant Day",""))</f>
        <v/>
      </c>
    </row>
    <row r="283">
      <c r="A283" s="3" t="s">
        <v>350</v>
      </c>
      <c r="B283" s="2">
        <v>150</v>
      </c>
      <c r="C283" s="2">
        <v>28</v>
      </c>
      <c r="D283" s="8" t="s">
        <v>903</v>
      </c>
      <c r="E283" s="6" t="str">
        <f t="shared" si="8"/>
        <v>2026-01-08</v>
      </c>
      <c r="F283" s="2">
        <v>49</v>
      </c>
      <c r="G283" s="3" t="s">
        <v>66</v>
      </c>
      <c r="H283" s="3" t="s">
        <v>79</v>
      </c>
      <c r="I283" s="2">
        <v>0</v>
      </c>
      <c r="J283" s="6" t="str">
        <f>_xlfn.IFNA(VLOOKUP(C283,merchants!$A$1:$D$41,2,0),"Merchant not found")</f>
        <v>Merchant_028</v>
      </c>
      <c r="K283" s="6" t="str">
        <f>_xlfn.IFNA(VLOOKUP(C283,merchants!$A$1:$D$41,3,0),"Merchant not found")</f>
        <v>ecommerce</v>
      </c>
      <c r="L283" s="6" t="str">
        <f>_xlfn.IFNA(VLOOKUP(C283,merchants!$A$1:$D$41,4,0),"Merchant not found")</f>
        <v>South</v>
      </c>
      <c r="M283" s="9">
        <f t="shared" si="9"/>
        <v>0</v>
      </c>
      <c r="N283" s="6" t="str">
        <f>IF(AND(L283&lt;&gt;"East",SUMIFS(merchant_workbook_pivot_table!$D$2:$D$444,merchant_workbook_pivot_table!$C$2:$C$444,E283,merchant_workbook_pivot_table!$B$2:$B$444,J283)&gt;5000),"High-Value Merchant Day",IF(AND(L283&lt;&gt;"East",SUMIFS(merchant_workbook_pivot_table!$D$2:$D$444,merchant_workbook_pivot_table!$C$2:$C$444,E283,merchant_workbook_pivot_table!$B$2:$B$444,J283)&gt;1000),"Mid-Value Merchant Day",""))</f>
        <v/>
      </c>
    </row>
    <row r="284">
      <c r="A284" s="3" t="s">
        <v>351</v>
      </c>
      <c r="B284" s="2">
        <v>293</v>
      </c>
      <c r="C284" s="2">
        <v>27</v>
      </c>
      <c r="D284" s="8" t="s">
        <v>904</v>
      </c>
      <c r="E284" s="6" t="str">
        <f t="shared" si="8"/>
        <v>2026-01-20</v>
      </c>
      <c r="F284" s="2">
        <v>4999</v>
      </c>
      <c r="G284" s="3" t="s">
        <v>66</v>
      </c>
      <c r="H284" s="3" t="s">
        <v>64</v>
      </c>
      <c r="I284" s="2">
        <v>23</v>
      </c>
      <c r="J284" s="6" t="str">
        <f>_xlfn.IFNA(VLOOKUP(C284,merchants!$A$1:$D$41,2,0),"Merchant not found")</f>
        <v>Merchant_027</v>
      </c>
      <c r="K284" s="6" t="str">
        <f>_xlfn.IFNA(VLOOKUP(C284,merchants!$A$1:$D$41,3,0),"Merchant not found")</f>
        <v>ecommerce</v>
      </c>
      <c r="L284" s="6" t="str">
        <f>_xlfn.IFNA(VLOOKUP(C284,merchants!$A$1:$D$41,4,0),"Merchant not found")</f>
        <v>North</v>
      </c>
      <c r="M284" s="9">
        <f t="shared" si="9"/>
        <v>0</v>
      </c>
      <c r="N284" s="6" t="str">
        <f>IF(AND(L284&lt;&gt;"East",SUMIFS(merchant_workbook_pivot_table!$D$2:$D$444,merchant_workbook_pivot_table!$C$2:$C$444,E284,merchant_workbook_pivot_table!$B$2:$B$444,J284)&gt;5000),"High-Value Merchant Day",IF(AND(L284&lt;&gt;"East",SUMIFS(merchant_workbook_pivot_table!$D$2:$D$444,merchant_workbook_pivot_table!$C$2:$C$444,E284,merchant_workbook_pivot_table!$B$2:$B$444,J284)&gt;1000),"Mid-Value Merchant Day",""))</f>
        <v xml:space="preserve">Mid-Value Merchant Day</v>
      </c>
    </row>
    <row r="285">
      <c r="A285" s="3" t="s">
        <v>352</v>
      </c>
      <c r="B285" s="2">
        <v>269</v>
      </c>
      <c r="C285" s="2">
        <v>24</v>
      </c>
      <c r="D285" s="8" t="s">
        <v>905</v>
      </c>
      <c r="E285" s="6" t="str">
        <f t="shared" si="8"/>
        <v>2026-01-22</v>
      </c>
      <c r="F285" s="2">
        <v>49</v>
      </c>
      <c r="G285" s="3" t="s">
        <v>63</v>
      </c>
      <c r="H285" s="3" t="s">
        <v>64</v>
      </c>
      <c r="I285" s="2">
        <v>8</v>
      </c>
      <c r="J285" s="6" t="str">
        <f>_xlfn.IFNA(VLOOKUP(C285,merchants!$A$1:$D$41,2,0),"Merchant not found")</f>
        <v>Merchant_024</v>
      </c>
      <c r="K285" s="6" t="str">
        <f>_xlfn.IFNA(VLOOKUP(C285,merchants!$A$1:$D$41,3,0),"Merchant not found")</f>
        <v>grocery</v>
      </c>
      <c r="L285" s="6" t="str">
        <f>_xlfn.IFNA(VLOOKUP(C285,merchants!$A$1:$D$41,4,0),"Merchant not found")</f>
        <v>North</v>
      </c>
      <c r="M285" s="9">
        <f t="shared" si="9"/>
        <v>0.73499999999999999</v>
      </c>
      <c r="N285" s="6" t="str">
        <f>IF(AND(L285&lt;&gt;"East",SUMIFS(merchant_workbook_pivot_table!$D$2:$D$444,merchant_workbook_pivot_table!$C$2:$C$444,E285,merchant_workbook_pivot_table!$B$2:$B$444,J285)&gt;5000),"High-Value Merchant Day",IF(AND(L285&lt;&gt;"East",SUMIFS(merchant_workbook_pivot_table!$D$2:$D$444,merchant_workbook_pivot_table!$C$2:$C$444,E285,merchant_workbook_pivot_table!$B$2:$B$444,J285)&gt;1000),"Mid-Value Merchant Day",""))</f>
        <v/>
      </c>
    </row>
    <row r="286">
      <c r="A286" s="3" t="s">
        <v>353</v>
      </c>
      <c r="B286" s="2">
        <v>260</v>
      </c>
      <c r="C286" s="2">
        <v>36</v>
      </c>
      <c r="D286" s="8" t="s">
        <v>906</v>
      </c>
      <c r="E286" s="6" t="str">
        <f t="shared" si="8"/>
        <v>2026-01-17</v>
      </c>
      <c r="F286" s="2">
        <v>1499</v>
      </c>
      <c r="G286" s="3" t="s">
        <v>66</v>
      </c>
      <c r="H286" s="3" t="s">
        <v>64</v>
      </c>
      <c r="I286" s="2">
        <v>2</v>
      </c>
      <c r="J286" s="6" t="str">
        <f>_xlfn.IFNA(VLOOKUP(C286,merchants!$A$1:$D$41,2,0),"Merchant not found")</f>
        <v>Merchant_036</v>
      </c>
      <c r="K286" s="6" t="str">
        <f>_xlfn.IFNA(VLOOKUP(C286,merchants!$A$1:$D$41,3,0),"Merchant not found")</f>
        <v>entertainment</v>
      </c>
      <c r="L286" s="6" t="str">
        <f>_xlfn.IFNA(VLOOKUP(C286,merchants!$A$1:$D$41,4,0),"Merchant not found")</f>
        <v>East</v>
      </c>
      <c r="M286" s="9">
        <f t="shared" si="9"/>
        <v>0</v>
      </c>
      <c r="N286" s="6" t="str">
        <f>IF(AND(L286&lt;&gt;"East",SUMIFS(merchant_workbook_pivot_table!$D$2:$D$444,merchant_workbook_pivot_table!$C$2:$C$444,E286,merchant_workbook_pivot_table!$B$2:$B$444,J286)&gt;5000),"High-Value Merchant Day",IF(AND(L286&lt;&gt;"East",SUMIFS(merchant_workbook_pivot_table!$D$2:$D$444,merchant_workbook_pivot_table!$C$2:$C$444,E286,merchant_workbook_pivot_table!$B$2:$B$444,J286)&gt;1000),"Mid-Value Merchant Day",""))</f>
        <v/>
      </c>
    </row>
    <row r="287">
      <c r="A287" s="3" t="s">
        <v>354</v>
      </c>
      <c r="B287" s="2">
        <v>326</v>
      </c>
      <c r="C287" s="2">
        <v>25</v>
      </c>
      <c r="D287" s="8" t="s">
        <v>907</v>
      </c>
      <c r="E287" s="6" t="str">
        <f t="shared" si="8"/>
        <v>2026-01-13</v>
      </c>
      <c r="F287" s="2">
        <v>49</v>
      </c>
      <c r="G287" s="3" t="s">
        <v>66</v>
      </c>
      <c r="H287" s="3" t="s">
        <v>64</v>
      </c>
      <c r="I287" s="2">
        <v>47</v>
      </c>
      <c r="J287" s="6" t="str">
        <f>_xlfn.IFNA(VLOOKUP(C287,merchants!$A$1:$D$41,2,0),"Merchant not found")</f>
        <v>Merchant_025</v>
      </c>
      <c r="K287" s="6" t="str">
        <f>_xlfn.IFNA(VLOOKUP(C287,merchants!$A$1:$D$41,3,0),"Merchant not found")</f>
        <v>travel</v>
      </c>
      <c r="L287" s="6" t="str">
        <f>_xlfn.IFNA(VLOOKUP(C287,merchants!$A$1:$D$41,4,0),"Merchant not found")</f>
        <v>South</v>
      </c>
      <c r="M287" s="9">
        <f t="shared" si="9"/>
        <v>0</v>
      </c>
      <c r="N287" s="6" t="str">
        <f>IF(AND(L287&lt;&gt;"East",SUMIFS(merchant_workbook_pivot_table!$D$2:$D$444,merchant_workbook_pivot_table!$C$2:$C$444,E287,merchant_workbook_pivot_table!$B$2:$B$444,J287)&gt;5000),"High-Value Merchant Day",IF(AND(L287&lt;&gt;"East",SUMIFS(merchant_workbook_pivot_table!$D$2:$D$444,merchant_workbook_pivot_table!$C$2:$C$444,E287,merchant_workbook_pivot_table!$B$2:$B$444,J287)&gt;1000),"Mid-Value Merchant Day",""))</f>
        <v/>
      </c>
    </row>
    <row r="288">
      <c r="A288" s="3" t="s">
        <v>355</v>
      </c>
      <c r="B288" s="2">
        <v>183</v>
      </c>
      <c r="C288" s="2">
        <v>5</v>
      </c>
      <c r="D288" s="8" t="s">
        <v>908</v>
      </c>
      <c r="E288" s="6" t="str">
        <f t="shared" si="8"/>
        <v>2026-01-09</v>
      </c>
      <c r="F288" s="2">
        <v>49</v>
      </c>
      <c r="G288" s="3" t="s">
        <v>78</v>
      </c>
      <c r="H288" s="3" t="s">
        <v>64</v>
      </c>
      <c r="I288" s="2">
        <v>44</v>
      </c>
      <c r="J288" s="6" t="str">
        <f>_xlfn.IFNA(VLOOKUP(C288,merchants!$A$1:$D$41,2,0),"Merchant not found")</f>
        <v>Merchant_005</v>
      </c>
      <c r="K288" s="6" t="str">
        <f>_xlfn.IFNA(VLOOKUP(C288,merchants!$A$1:$D$41,3,0),"Merchant not found")</f>
        <v>recharge</v>
      </c>
      <c r="L288" s="6" t="str">
        <f>_xlfn.IFNA(VLOOKUP(C288,merchants!$A$1:$D$41,4,0),"Merchant not found")</f>
        <v>South</v>
      </c>
      <c r="M288" s="9">
        <f t="shared" si="9"/>
        <v>0.97999999999999998</v>
      </c>
      <c r="N288" s="6" t="str">
        <f>IF(AND(L288&lt;&gt;"East",SUMIFS(merchant_workbook_pivot_table!$D$2:$D$444,merchant_workbook_pivot_table!$C$2:$C$444,E288,merchant_workbook_pivot_table!$B$2:$B$444,J288)&gt;5000),"High-Value Merchant Day",IF(AND(L288&lt;&gt;"East",SUMIFS(merchant_workbook_pivot_table!$D$2:$D$444,merchant_workbook_pivot_table!$C$2:$C$444,E288,merchant_workbook_pivot_table!$B$2:$B$444,J288)&gt;1000),"Mid-Value Merchant Day",""))</f>
        <v/>
      </c>
    </row>
    <row r="289">
      <c r="A289" s="3" t="s">
        <v>356</v>
      </c>
      <c r="B289" s="2">
        <v>322</v>
      </c>
      <c r="C289" s="2">
        <v>7</v>
      </c>
      <c r="D289" s="8" t="s">
        <v>909</v>
      </c>
      <c r="E289" s="6" t="str">
        <f t="shared" si="8"/>
        <v>2026-01-08</v>
      </c>
      <c r="F289" s="2">
        <v>299</v>
      </c>
      <c r="G289" s="3" t="s">
        <v>66</v>
      </c>
      <c r="H289" s="3" t="s">
        <v>64</v>
      </c>
      <c r="I289" s="2">
        <v>98</v>
      </c>
      <c r="J289" s="6" t="str">
        <f>_xlfn.IFNA(VLOOKUP(C289,merchants!$A$1:$D$41,2,0),"Merchant not found")</f>
        <v>Merchant_007</v>
      </c>
      <c r="K289" s="6" t="str">
        <f>_xlfn.IFNA(VLOOKUP(C289,merchants!$A$1:$D$41,3,0),"Merchant not found")</f>
        <v>food_delivery</v>
      </c>
      <c r="L289" s="6" t="str">
        <f>_xlfn.IFNA(VLOOKUP(C289,merchants!$A$1:$D$41,4,0),"Merchant not found")</f>
        <v>East</v>
      </c>
      <c r="M289" s="9">
        <f t="shared" si="9"/>
        <v>0</v>
      </c>
      <c r="N289" s="6" t="str">
        <f>IF(AND(L289&lt;&gt;"East",SUMIFS(merchant_workbook_pivot_table!$D$2:$D$444,merchant_workbook_pivot_table!$C$2:$C$444,E289,merchant_workbook_pivot_table!$B$2:$B$444,J289)&gt;5000),"High-Value Merchant Day",IF(AND(L289&lt;&gt;"East",SUMIFS(merchant_workbook_pivot_table!$D$2:$D$444,merchant_workbook_pivot_table!$C$2:$C$444,E289,merchant_workbook_pivot_table!$B$2:$B$444,J289)&gt;1000),"Mid-Value Merchant Day",""))</f>
        <v/>
      </c>
    </row>
    <row r="290">
      <c r="A290" s="3" t="s">
        <v>357</v>
      </c>
      <c r="B290" s="2">
        <v>171</v>
      </c>
      <c r="C290" s="2">
        <v>9</v>
      </c>
      <c r="D290" s="8" t="s">
        <v>910</v>
      </c>
      <c r="E290" s="6" t="str">
        <f t="shared" si="8"/>
        <v>2026-01-19</v>
      </c>
      <c r="F290" s="2">
        <v>299</v>
      </c>
      <c r="G290" s="3" t="s">
        <v>66</v>
      </c>
      <c r="H290" s="3" t="s">
        <v>64</v>
      </c>
      <c r="I290" s="2">
        <v>5</v>
      </c>
      <c r="J290" s="6" t="str">
        <f>_xlfn.IFNA(VLOOKUP(C290,merchants!$A$1:$D$41,2,0),"Merchant not found")</f>
        <v>Merchant_009</v>
      </c>
      <c r="K290" s="6" t="str">
        <f>_xlfn.IFNA(VLOOKUP(C290,merchants!$A$1:$D$41,3,0),"Merchant not found")</f>
        <v>ecommerce</v>
      </c>
      <c r="L290" s="6" t="str">
        <f>_xlfn.IFNA(VLOOKUP(C290,merchants!$A$1:$D$41,4,0),"Merchant not found")</f>
        <v>North</v>
      </c>
      <c r="M290" s="9">
        <f t="shared" si="9"/>
        <v>0</v>
      </c>
      <c r="N290" s="6" t="str">
        <f>IF(AND(L290&lt;&gt;"East",SUMIFS(merchant_workbook_pivot_table!$D$2:$D$444,merchant_workbook_pivot_table!$C$2:$C$444,E290,merchant_workbook_pivot_table!$B$2:$B$444,J290)&gt;5000),"High-Value Merchant Day",IF(AND(L290&lt;&gt;"East",SUMIFS(merchant_workbook_pivot_table!$D$2:$D$444,merchant_workbook_pivot_table!$C$2:$C$444,E290,merchant_workbook_pivot_table!$B$2:$B$444,J290)&gt;1000),"Mid-Value Merchant Day",""))</f>
        <v/>
      </c>
    </row>
    <row r="291">
      <c r="A291" s="3" t="s">
        <v>358</v>
      </c>
      <c r="B291" s="2">
        <v>330</v>
      </c>
      <c r="C291" s="2">
        <v>12</v>
      </c>
      <c r="D291" s="8" t="s">
        <v>911</v>
      </c>
      <c r="E291" s="6" t="str">
        <f t="shared" si="8"/>
        <v>2026-01-12</v>
      </c>
      <c r="F291" s="2">
        <v>1499</v>
      </c>
      <c r="G291" s="3" t="s">
        <v>69</v>
      </c>
      <c r="H291" s="3" t="s">
        <v>64</v>
      </c>
      <c r="I291" s="2">
        <v>99</v>
      </c>
      <c r="J291" s="6" t="str">
        <f>_xlfn.IFNA(VLOOKUP(C291,merchants!$A$1:$D$41,2,0),"Merchant not found")</f>
        <v>Merchant_012</v>
      </c>
      <c r="K291" s="6" t="str">
        <f>_xlfn.IFNA(VLOOKUP(C291,merchants!$A$1:$D$41,3,0),"Merchant not found")</f>
        <v>ecommerce</v>
      </c>
      <c r="L291" s="6" t="str">
        <f>_xlfn.IFNA(VLOOKUP(C291,merchants!$A$1:$D$41,4,0),"Merchant not found")</f>
        <v>East</v>
      </c>
      <c r="M291" s="9">
        <f t="shared" si="9"/>
        <v>14.99</v>
      </c>
      <c r="N291" s="6" t="str">
        <f>IF(AND(L291&lt;&gt;"East",SUMIFS(merchant_workbook_pivot_table!$D$2:$D$444,merchant_workbook_pivot_table!$C$2:$C$444,E291,merchant_workbook_pivot_table!$B$2:$B$444,J291)&gt;5000),"High-Value Merchant Day",IF(AND(L291&lt;&gt;"East",SUMIFS(merchant_workbook_pivot_table!$D$2:$D$444,merchant_workbook_pivot_table!$C$2:$C$444,E291,merchant_workbook_pivot_table!$B$2:$B$444,J291)&gt;1000),"Mid-Value Merchant Day",""))</f>
        <v/>
      </c>
    </row>
    <row r="292">
      <c r="A292" s="3" t="s">
        <v>359</v>
      </c>
      <c r="B292" s="2">
        <v>246</v>
      </c>
      <c r="C292" s="2">
        <v>12</v>
      </c>
      <c r="D292" s="8" t="s">
        <v>912</v>
      </c>
      <c r="E292" s="6" t="str">
        <f t="shared" si="8"/>
        <v>2026-01-22</v>
      </c>
      <c r="F292" s="2">
        <v>99</v>
      </c>
      <c r="G292" s="3" t="s">
        <v>63</v>
      </c>
      <c r="H292" s="3" t="s">
        <v>64</v>
      </c>
      <c r="I292" s="2">
        <v>17</v>
      </c>
      <c r="J292" s="6" t="str">
        <f>_xlfn.IFNA(VLOOKUP(C292,merchants!$A$1:$D$41,2,0),"Merchant not found")</f>
        <v>Merchant_012</v>
      </c>
      <c r="K292" s="6" t="str">
        <f>_xlfn.IFNA(VLOOKUP(C292,merchants!$A$1:$D$41,3,0),"Merchant not found")</f>
        <v>ecommerce</v>
      </c>
      <c r="L292" s="6" t="str">
        <f>_xlfn.IFNA(VLOOKUP(C292,merchants!$A$1:$D$41,4,0),"Merchant not found")</f>
        <v>East</v>
      </c>
      <c r="M292" s="9">
        <f t="shared" si="9"/>
        <v>1.4849999999999999</v>
      </c>
      <c r="N292" s="6" t="str">
        <f>IF(AND(L292&lt;&gt;"East",SUMIFS(merchant_workbook_pivot_table!$D$2:$D$444,merchant_workbook_pivot_table!$C$2:$C$444,E292,merchant_workbook_pivot_table!$B$2:$B$444,J292)&gt;5000),"High-Value Merchant Day",IF(AND(L292&lt;&gt;"East",SUMIFS(merchant_workbook_pivot_table!$D$2:$D$444,merchant_workbook_pivot_table!$C$2:$C$444,E292,merchant_workbook_pivot_table!$B$2:$B$444,J292)&gt;1000),"Mid-Value Merchant Day",""))</f>
        <v/>
      </c>
    </row>
    <row r="293">
      <c r="A293" s="3" t="s">
        <v>360</v>
      </c>
      <c r="B293" s="2">
        <v>235</v>
      </c>
      <c r="C293" s="2">
        <v>3</v>
      </c>
      <c r="D293" s="8" t="s">
        <v>913</v>
      </c>
      <c r="E293" s="6" t="str">
        <f t="shared" si="8"/>
        <v>2026-01-03</v>
      </c>
      <c r="F293" s="2">
        <v>49</v>
      </c>
      <c r="G293" s="3" t="s">
        <v>66</v>
      </c>
      <c r="H293" s="3" t="s">
        <v>64</v>
      </c>
      <c r="I293" s="2">
        <v>37</v>
      </c>
      <c r="J293" s="6" t="str">
        <f>_xlfn.IFNA(VLOOKUP(C293,merchants!$A$1:$D$41,2,0),"Merchant not found")</f>
        <v>Merchant_003</v>
      </c>
      <c r="K293" s="6" t="str">
        <f>_xlfn.IFNA(VLOOKUP(C293,merchants!$A$1:$D$41,3,0),"Merchant not found")</f>
        <v>grocery</v>
      </c>
      <c r="L293" s="6" t="str">
        <f>_xlfn.IFNA(VLOOKUP(C293,merchants!$A$1:$D$41,4,0),"Merchant not found")</f>
        <v>East</v>
      </c>
      <c r="M293" s="9">
        <f t="shared" si="9"/>
        <v>0</v>
      </c>
      <c r="N293" s="6" t="str">
        <f>IF(AND(L293&lt;&gt;"East",SUMIFS(merchant_workbook_pivot_table!$D$2:$D$444,merchant_workbook_pivot_table!$C$2:$C$444,E293,merchant_workbook_pivot_table!$B$2:$B$444,J293)&gt;5000),"High-Value Merchant Day",IF(AND(L293&lt;&gt;"East",SUMIFS(merchant_workbook_pivot_table!$D$2:$D$444,merchant_workbook_pivot_table!$C$2:$C$444,E293,merchant_workbook_pivot_table!$B$2:$B$444,J293)&gt;1000),"Mid-Value Merchant Day",""))</f>
        <v/>
      </c>
    </row>
    <row r="294">
      <c r="A294" s="3" t="s">
        <v>361</v>
      </c>
      <c r="B294" s="2">
        <v>103</v>
      </c>
      <c r="C294" s="2">
        <v>3</v>
      </c>
      <c r="D294" s="8" t="s">
        <v>914</v>
      </c>
      <c r="E294" s="6" t="str">
        <f t="shared" si="8"/>
        <v>2026-01-07</v>
      </c>
      <c r="F294" s="2">
        <v>499</v>
      </c>
      <c r="G294" s="3" t="s">
        <v>66</v>
      </c>
      <c r="H294" s="3" t="s">
        <v>64</v>
      </c>
      <c r="I294" s="2">
        <v>40</v>
      </c>
      <c r="J294" s="6" t="str">
        <f>_xlfn.IFNA(VLOOKUP(C294,merchants!$A$1:$D$41,2,0),"Merchant not found")</f>
        <v>Merchant_003</v>
      </c>
      <c r="K294" s="6" t="str">
        <f>_xlfn.IFNA(VLOOKUP(C294,merchants!$A$1:$D$41,3,0),"Merchant not found")</f>
        <v>grocery</v>
      </c>
      <c r="L294" s="6" t="str">
        <f>_xlfn.IFNA(VLOOKUP(C294,merchants!$A$1:$D$41,4,0),"Merchant not found")</f>
        <v>East</v>
      </c>
      <c r="M294" s="9">
        <f t="shared" si="9"/>
        <v>0</v>
      </c>
      <c r="N294" s="6" t="str">
        <f>IF(AND(L294&lt;&gt;"East",SUMIFS(merchant_workbook_pivot_table!$D$2:$D$444,merchant_workbook_pivot_table!$C$2:$C$444,E294,merchant_workbook_pivot_table!$B$2:$B$444,J294)&gt;5000),"High-Value Merchant Day",IF(AND(L294&lt;&gt;"East",SUMIFS(merchant_workbook_pivot_table!$D$2:$D$444,merchant_workbook_pivot_table!$C$2:$C$444,E294,merchant_workbook_pivot_table!$B$2:$B$444,J294)&gt;1000),"Mid-Value Merchant Day",""))</f>
        <v/>
      </c>
    </row>
    <row r="295">
      <c r="A295" s="3" t="s">
        <v>362</v>
      </c>
      <c r="B295" s="2">
        <v>204</v>
      </c>
      <c r="C295" s="2">
        <v>35</v>
      </c>
      <c r="D295" s="8" t="s">
        <v>915</v>
      </c>
      <c r="E295" s="6" t="str">
        <f t="shared" si="8"/>
        <v>2026-01-30</v>
      </c>
      <c r="F295" s="2">
        <v>99</v>
      </c>
      <c r="G295" s="3" t="s">
        <v>63</v>
      </c>
      <c r="H295" s="3" t="s">
        <v>64</v>
      </c>
      <c r="I295" s="2">
        <v>60</v>
      </c>
      <c r="J295" s="6" t="str">
        <f>_xlfn.IFNA(VLOOKUP(C295,merchants!$A$1:$D$41,2,0),"Merchant not found")</f>
        <v>Merchant_035</v>
      </c>
      <c r="K295" s="6" t="str">
        <f>_xlfn.IFNA(VLOOKUP(C295,merchants!$A$1:$D$41,3,0),"Merchant not found")</f>
        <v>recharge</v>
      </c>
      <c r="L295" s="6" t="str">
        <f>_xlfn.IFNA(VLOOKUP(C295,merchants!$A$1:$D$41,4,0),"Merchant not found")</f>
        <v>East</v>
      </c>
      <c r="M295" s="9">
        <f t="shared" si="9"/>
        <v>1.4849999999999999</v>
      </c>
      <c r="N295" s="6" t="str">
        <f>IF(AND(L295&lt;&gt;"East",SUMIFS(merchant_workbook_pivot_table!$D$2:$D$444,merchant_workbook_pivot_table!$C$2:$C$444,E295,merchant_workbook_pivot_table!$B$2:$B$444,J295)&gt;5000),"High-Value Merchant Day",IF(AND(L295&lt;&gt;"East",SUMIFS(merchant_workbook_pivot_table!$D$2:$D$444,merchant_workbook_pivot_table!$C$2:$C$444,E295,merchant_workbook_pivot_table!$B$2:$B$444,J295)&gt;1000),"Mid-Value Merchant Day",""))</f>
        <v/>
      </c>
    </row>
    <row r="296">
      <c r="A296" s="3" t="s">
        <v>363</v>
      </c>
      <c r="B296" s="2">
        <v>332</v>
      </c>
      <c r="C296" s="2">
        <v>13</v>
      </c>
      <c r="D296" s="8" t="s">
        <v>916</v>
      </c>
      <c r="E296" s="6" t="str">
        <f t="shared" si="8"/>
        <v>2026-01-09</v>
      </c>
      <c r="F296" s="2">
        <v>49</v>
      </c>
      <c r="G296" s="3" t="s">
        <v>78</v>
      </c>
      <c r="H296" s="3" t="s">
        <v>64</v>
      </c>
      <c r="I296" s="2">
        <v>36</v>
      </c>
      <c r="J296" s="6" t="str">
        <f>_xlfn.IFNA(VLOOKUP(C296,merchants!$A$1:$D$41,2,0),"Merchant not found")</f>
        <v>Merchant_013</v>
      </c>
      <c r="K296" s="6" t="str">
        <f>_xlfn.IFNA(VLOOKUP(C296,merchants!$A$1:$D$41,3,0),"Merchant not found")</f>
        <v>travel</v>
      </c>
      <c r="L296" s="6" t="str">
        <f>_xlfn.IFNA(VLOOKUP(C296,merchants!$A$1:$D$41,4,0),"Merchant not found")</f>
        <v>East</v>
      </c>
      <c r="M296" s="9">
        <f t="shared" si="9"/>
        <v>0.97999999999999998</v>
      </c>
      <c r="N296" s="6" t="str">
        <f>IF(AND(L296&lt;&gt;"East",SUMIFS(merchant_workbook_pivot_table!$D$2:$D$444,merchant_workbook_pivot_table!$C$2:$C$444,E296,merchant_workbook_pivot_table!$B$2:$B$444,J296)&gt;5000),"High-Value Merchant Day",IF(AND(L296&lt;&gt;"East",SUMIFS(merchant_workbook_pivot_table!$D$2:$D$444,merchant_workbook_pivot_table!$C$2:$C$444,E296,merchant_workbook_pivot_table!$B$2:$B$444,J296)&gt;1000),"Mid-Value Merchant Day",""))</f>
        <v/>
      </c>
    </row>
    <row r="297">
      <c r="A297" s="3" t="s">
        <v>364</v>
      </c>
      <c r="B297" s="2">
        <v>336</v>
      </c>
      <c r="C297" s="2">
        <v>22</v>
      </c>
      <c r="D297" s="8" t="s">
        <v>917</v>
      </c>
      <c r="E297" s="6" t="str">
        <f t="shared" si="8"/>
        <v>2026-01-12</v>
      </c>
      <c r="F297" s="2">
        <v>499</v>
      </c>
      <c r="G297" s="3" t="s">
        <v>66</v>
      </c>
      <c r="H297" s="3" t="s">
        <v>64</v>
      </c>
      <c r="I297" s="2">
        <v>34</v>
      </c>
      <c r="J297" s="6" t="str">
        <f>_xlfn.IFNA(VLOOKUP(C297,merchants!$A$1:$D$41,2,0),"Merchant not found")</f>
        <v>Merchant_022</v>
      </c>
      <c r="K297" s="6" t="str">
        <f>_xlfn.IFNA(VLOOKUP(C297,merchants!$A$1:$D$41,3,0),"Merchant not found")</f>
        <v>travel</v>
      </c>
      <c r="L297" s="6" t="str">
        <f>_xlfn.IFNA(VLOOKUP(C297,merchants!$A$1:$D$41,4,0),"Merchant not found")</f>
        <v>South</v>
      </c>
      <c r="M297" s="9">
        <f t="shared" si="9"/>
        <v>0</v>
      </c>
      <c r="N297" s="6" t="str">
        <f>IF(AND(L297&lt;&gt;"East",SUMIFS(merchant_workbook_pivot_table!$D$2:$D$444,merchant_workbook_pivot_table!$C$2:$C$444,E297,merchant_workbook_pivot_table!$B$2:$B$444,J297)&gt;5000),"High-Value Merchant Day",IF(AND(L297&lt;&gt;"East",SUMIFS(merchant_workbook_pivot_table!$D$2:$D$444,merchant_workbook_pivot_table!$C$2:$C$444,E297,merchant_workbook_pivot_table!$B$2:$B$444,J297)&gt;1000),"Mid-Value Merchant Day",""))</f>
        <v xml:space="preserve">Mid-Value Merchant Day</v>
      </c>
    </row>
    <row r="298">
      <c r="A298" s="3" t="s">
        <v>365</v>
      </c>
      <c r="B298" s="2">
        <v>205</v>
      </c>
      <c r="C298" s="2">
        <v>29</v>
      </c>
      <c r="D298" s="8" t="s">
        <v>918</v>
      </c>
      <c r="E298" s="6" t="str">
        <f t="shared" si="8"/>
        <v>2026-01-04</v>
      </c>
      <c r="F298" s="2">
        <v>99</v>
      </c>
      <c r="G298" s="3" t="s">
        <v>63</v>
      </c>
      <c r="H298" s="3" t="s">
        <v>64</v>
      </c>
      <c r="I298" s="2">
        <v>49</v>
      </c>
      <c r="J298" s="6" t="str">
        <f>_xlfn.IFNA(VLOOKUP(C298,merchants!$A$1:$D$41,2,0),"Merchant not found")</f>
        <v>Merchant_029</v>
      </c>
      <c r="K298" s="6" t="str">
        <f>_xlfn.IFNA(VLOOKUP(C298,merchants!$A$1:$D$41,3,0),"Merchant not found")</f>
        <v>ecommerce</v>
      </c>
      <c r="L298" s="6" t="str">
        <f>_xlfn.IFNA(VLOOKUP(C298,merchants!$A$1:$D$41,4,0),"Merchant not found")</f>
        <v>North</v>
      </c>
      <c r="M298" s="9">
        <f t="shared" si="9"/>
        <v>1.4849999999999999</v>
      </c>
      <c r="N298" s="6" t="str">
        <f>IF(AND(L298&lt;&gt;"East",SUMIFS(merchant_workbook_pivot_table!$D$2:$D$444,merchant_workbook_pivot_table!$C$2:$C$444,E298,merchant_workbook_pivot_table!$B$2:$B$444,J298)&gt;5000),"High-Value Merchant Day",IF(AND(L298&lt;&gt;"East",SUMIFS(merchant_workbook_pivot_table!$D$2:$D$444,merchant_workbook_pivot_table!$C$2:$C$444,E298,merchant_workbook_pivot_table!$B$2:$B$444,J298)&gt;1000),"Mid-Value Merchant Day",""))</f>
        <v/>
      </c>
    </row>
    <row r="299">
      <c r="A299" s="3" t="s">
        <v>366</v>
      </c>
      <c r="B299" s="2">
        <v>255</v>
      </c>
      <c r="C299" s="2">
        <v>24</v>
      </c>
      <c r="D299" s="8" t="s">
        <v>919</v>
      </c>
      <c r="E299" s="6" t="str">
        <f t="shared" si="8"/>
        <v>2026-01-11</v>
      </c>
      <c r="F299" s="2">
        <v>799</v>
      </c>
      <c r="G299" s="3" t="s">
        <v>66</v>
      </c>
      <c r="H299" s="3" t="s">
        <v>64</v>
      </c>
      <c r="I299" s="2">
        <v>66</v>
      </c>
      <c r="J299" s="6" t="str">
        <f>_xlfn.IFNA(VLOOKUP(C299,merchants!$A$1:$D$41,2,0),"Merchant not found")</f>
        <v>Merchant_024</v>
      </c>
      <c r="K299" s="6" t="str">
        <f>_xlfn.IFNA(VLOOKUP(C299,merchants!$A$1:$D$41,3,0),"Merchant not found")</f>
        <v>grocery</v>
      </c>
      <c r="L299" s="6" t="str">
        <f>_xlfn.IFNA(VLOOKUP(C299,merchants!$A$1:$D$41,4,0),"Merchant not found")</f>
        <v>North</v>
      </c>
      <c r="M299" s="9">
        <f t="shared" si="9"/>
        <v>0</v>
      </c>
      <c r="N299" s="6" t="str">
        <f>IF(AND(L299&lt;&gt;"East",SUMIFS(merchant_workbook_pivot_table!$D$2:$D$444,merchant_workbook_pivot_table!$C$2:$C$444,E299,merchant_workbook_pivot_table!$B$2:$B$444,J299)&gt;5000),"High-Value Merchant Day",IF(AND(L299&lt;&gt;"East",SUMIFS(merchant_workbook_pivot_table!$D$2:$D$444,merchant_workbook_pivot_table!$C$2:$C$444,E299,merchant_workbook_pivot_table!$B$2:$B$444,J299)&gt;1000),"Mid-Value Merchant Day",""))</f>
        <v/>
      </c>
    </row>
    <row r="300">
      <c r="A300" s="3" t="s">
        <v>367</v>
      </c>
      <c r="B300" s="2">
        <v>218</v>
      </c>
      <c r="C300" s="2">
        <v>6</v>
      </c>
      <c r="D300" s="8" t="s">
        <v>920</v>
      </c>
      <c r="E300" s="6" t="str">
        <f t="shared" si="8"/>
        <v>2026-01-09</v>
      </c>
      <c r="F300" s="2">
        <v>99</v>
      </c>
      <c r="G300" s="3" t="s">
        <v>66</v>
      </c>
      <c r="H300" s="3" t="s">
        <v>64</v>
      </c>
      <c r="I300" s="2">
        <v>55</v>
      </c>
      <c r="J300" s="6" t="str">
        <f>_xlfn.IFNA(VLOOKUP(C300,merchants!$A$1:$D$41,2,0),"Merchant not found")</f>
        <v>Merchant_006</v>
      </c>
      <c r="K300" s="6" t="str">
        <f>_xlfn.IFNA(VLOOKUP(C300,merchants!$A$1:$D$41,3,0),"Merchant not found")</f>
        <v>food_delivery</v>
      </c>
      <c r="L300" s="6" t="str">
        <f>_xlfn.IFNA(VLOOKUP(C300,merchants!$A$1:$D$41,4,0),"Merchant not found")</f>
        <v>South</v>
      </c>
      <c r="M300" s="9">
        <f t="shared" si="9"/>
        <v>0</v>
      </c>
      <c r="N300" s="6" t="str">
        <f>IF(AND(L300&lt;&gt;"East",SUMIFS(merchant_workbook_pivot_table!$D$2:$D$444,merchant_workbook_pivot_table!$C$2:$C$444,E300,merchant_workbook_pivot_table!$B$2:$B$444,J300)&gt;5000),"High-Value Merchant Day",IF(AND(L300&lt;&gt;"East",SUMIFS(merchant_workbook_pivot_table!$D$2:$D$444,merchant_workbook_pivot_table!$C$2:$C$444,E300,merchant_workbook_pivot_table!$B$2:$B$444,J300)&gt;1000),"Mid-Value Merchant Day",""))</f>
        <v/>
      </c>
    </row>
    <row r="301">
      <c r="A301" s="3" t="s">
        <v>368</v>
      </c>
      <c r="B301" s="2">
        <v>151</v>
      </c>
      <c r="C301" s="2">
        <v>21</v>
      </c>
      <c r="D301" s="8" t="s">
        <v>921</v>
      </c>
      <c r="E301" s="6" t="str">
        <f t="shared" si="8"/>
        <v>2026-01-20</v>
      </c>
      <c r="F301" s="2">
        <v>49</v>
      </c>
      <c r="G301" s="3" t="s">
        <v>66</v>
      </c>
      <c r="H301" s="3" t="s">
        <v>64</v>
      </c>
      <c r="I301" s="2">
        <v>13</v>
      </c>
      <c r="J301" s="6" t="str">
        <f>_xlfn.IFNA(VLOOKUP(C301,merchants!$A$1:$D$41,2,0),"Merchant not found")</f>
        <v>Merchant_021</v>
      </c>
      <c r="K301" s="6" t="str">
        <f>_xlfn.IFNA(VLOOKUP(C301,merchants!$A$1:$D$41,3,0),"Merchant not found")</f>
        <v>food_delivery</v>
      </c>
      <c r="L301" s="6" t="str">
        <f>_xlfn.IFNA(VLOOKUP(C301,merchants!$A$1:$D$41,4,0),"Merchant not found")</f>
        <v>East</v>
      </c>
      <c r="M301" s="9">
        <f t="shared" si="9"/>
        <v>0</v>
      </c>
      <c r="N301" s="6" t="str">
        <f>IF(AND(L301&lt;&gt;"East",SUMIFS(merchant_workbook_pivot_table!$D$2:$D$444,merchant_workbook_pivot_table!$C$2:$C$444,E301,merchant_workbook_pivot_table!$B$2:$B$444,J301)&gt;5000),"High-Value Merchant Day",IF(AND(L301&lt;&gt;"East",SUMIFS(merchant_workbook_pivot_table!$D$2:$D$444,merchant_workbook_pivot_table!$C$2:$C$444,E301,merchant_workbook_pivot_table!$B$2:$B$444,J301)&gt;1000),"Mid-Value Merchant Day",""))</f>
        <v/>
      </c>
    </row>
    <row r="302">
      <c r="A302" s="3" t="s">
        <v>369</v>
      </c>
      <c r="B302" s="2">
        <v>152</v>
      </c>
      <c r="C302" s="2">
        <v>20</v>
      </c>
      <c r="D302" s="8" t="s">
        <v>922</v>
      </c>
      <c r="E302" s="6" t="str">
        <f t="shared" si="8"/>
        <v>2026-01-03</v>
      </c>
      <c r="F302" s="2">
        <v>49</v>
      </c>
      <c r="G302" s="3" t="s">
        <v>66</v>
      </c>
      <c r="H302" s="3" t="s">
        <v>64</v>
      </c>
      <c r="I302" s="2">
        <v>57</v>
      </c>
      <c r="J302" s="6" t="str">
        <f>_xlfn.IFNA(VLOOKUP(C302,merchants!$A$1:$D$41,2,0),"Merchant not found")</f>
        <v>Merchant_020</v>
      </c>
      <c r="K302" s="6" t="str">
        <f>_xlfn.IFNA(VLOOKUP(C302,merchants!$A$1:$D$41,3,0),"Merchant not found")</f>
        <v>food_delivery</v>
      </c>
      <c r="L302" s="6" t="str">
        <f>_xlfn.IFNA(VLOOKUP(C302,merchants!$A$1:$D$41,4,0),"Merchant not found")</f>
        <v>East</v>
      </c>
      <c r="M302" s="9">
        <f t="shared" si="9"/>
        <v>0</v>
      </c>
      <c r="N302" s="6" t="str">
        <f>IF(AND(L302&lt;&gt;"East",SUMIFS(merchant_workbook_pivot_table!$D$2:$D$444,merchant_workbook_pivot_table!$C$2:$C$444,E302,merchant_workbook_pivot_table!$B$2:$B$444,J302)&gt;5000),"High-Value Merchant Day",IF(AND(L302&lt;&gt;"East",SUMIFS(merchant_workbook_pivot_table!$D$2:$D$444,merchant_workbook_pivot_table!$C$2:$C$444,E302,merchant_workbook_pivot_table!$B$2:$B$444,J302)&gt;1000),"Mid-Value Merchant Day",""))</f>
        <v/>
      </c>
    </row>
    <row r="303">
      <c r="A303" s="3" t="s">
        <v>370</v>
      </c>
      <c r="B303" s="2">
        <v>86</v>
      </c>
      <c r="C303" s="2">
        <v>29</v>
      </c>
      <c r="D303" s="8" t="s">
        <v>923</v>
      </c>
      <c r="E303" s="6" t="str">
        <f t="shared" si="8"/>
        <v>2026-01-20</v>
      </c>
      <c r="F303" s="2">
        <v>149</v>
      </c>
      <c r="G303" s="3" t="s">
        <v>78</v>
      </c>
      <c r="H303" s="3" t="s">
        <v>64</v>
      </c>
      <c r="I303" s="2">
        <v>44</v>
      </c>
      <c r="J303" s="6" t="str">
        <f>_xlfn.IFNA(VLOOKUP(C303,merchants!$A$1:$D$41,2,0),"Merchant not found")</f>
        <v>Merchant_029</v>
      </c>
      <c r="K303" s="6" t="str">
        <f>_xlfn.IFNA(VLOOKUP(C303,merchants!$A$1:$D$41,3,0),"Merchant not found")</f>
        <v>ecommerce</v>
      </c>
      <c r="L303" s="6" t="str">
        <f>_xlfn.IFNA(VLOOKUP(C303,merchants!$A$1:$D$41,4,0),"Merchant not found")</f>
        <v>North</v>
      </c>
      <c r="M303" s="9">
        <f t="shared" si="9"/>
        <v>2.98</v>
      </c>
      <c r="N303" s="6" t="str">
        <f>IF(AND(L303&lt;&gt;"East",SUMIFS(merchant_workbook_pivot_table!$D$2:$D$444,merchant_workbook_pivot_table!$C$2:$C$444,E303,merchant_workbook_pivot_table!$B$2:$B$444,J303)&gt;5000),"High-Value Merchant Day",IF(AND(L303&lt;&gt;"East",SUMIFS(merchant_workbook_pivot_table!$D$2:$D$444,merchant_workbook_pivot_table!$C$2:$C$444,E303,merchant_workbook_pivot_table!$B$2:$B$444,J303)&gt;1000),"Mid-Value Merchant Day",""))</f>
        <v/>
      </c>
    </row>
    <row r="304">
      <c r="A304" s="3" t="s">
        <v>371</v>
      </c>
      <c r="B304" s="2">
        <v>181</v>
      </c>
      <c r="C304" s="2">
        <v>40</v>
      </c>
      <c r="D304" s="8" t="s">
        <v>924</v>
      </c>
      <c r="E304" s="6" t="str">
        <f t="shared" si="8"/>
        <v>2026-01-15</v>
      </c>
      <c r="F304" s="2">
        <v>149</v>
      </c>
      <c r="G304" s="3" t="s">
        <v>66</v>
      </c>
      <c r="H304" s="3" t="s">
        <v>64</v>
      </c>
      <c r="I304" s="2">
        <v>55</v>
      </c>
      <c r="J304" s="6" t="str">
        <f>_xlfn.IFNA(VLOOKUP(C304,merchants!$A$1:$D$41,2,0),"Merchant not found")</f>
        <v>Merchant_040</v>
      </c>
      <c r="K304" s="6" t="str">
        <f>_xlfn.IFNA(VLOOKUP(C304,merchants!$A$1:$D$41,3,0),"Merchant not found")</f>
        <v>entertainment</v>
      </c>
      <c r="L304" s="6" t="str">
        <f>_xlfn.IFNA(VLOOKUP(C304,merchants!$A$1:$D$41,4,0),"Merchant not found")</f>
        <v>South</v>
      </c>
      <c r="M304" s="9">
        <f t="shared" si="9"/>
        <v>0</v>
      </c>
      <c r="N304" s="6" t="str">
        <f>IF(AND(L304&lt;&gt;"East",SUMIFS(merchant_workbook_pivot_table!$D$2:$D$444,merchant_workbook_pivot_table!$C$2:$C$444,E304,merchant_workbook_pivot_table!$B$2:$B$444,J304)&gt;5000),"High-Value Merchant Day",IF(AND(L304&lt;&gt;"East",SUMIFS(merchant_workbook_pivot_table!$D$2:$D$444,merchant_workbook_pivot_table!$C$2:$C$444,E304,merchant_workbook_pivot_table!$B$2:$B$444,J304)&gt;1000),"Mid-Value Merchant Day",""))</f>
        <v/>
      </c>
    </row>
    <row r="305">
      <c r="A305" s="3" t="s">
        <v>372</v>
      </c>
      <c r="B305" s="2">
        <v>30</v>
      </c>
      <c r="C305" s="2">
        <v>5</v>
      </c>
      <c r="D305" s="8" t="s">
        <v>925</v>
      </c>
      <c r="E305" s="6" t="str">
        <f t="shared" si="8"/>
        <v>2026-01-09</v>
      </c>
      <c r="F305" s="2">
        <v>299</v>
      </c>
      <c r="G305" s="3" t="s">
        <v>66</v>
      </c>
      <c r="H305" s="3" t="s">
        <v>64</v>
      </c>
      <c r="I305" s="2">
        <v>85</v>
      </c>
      <c r="J305" s="6" t="str">
        <f>_xlfn.IFNA(VLOOKUP(C305,merchants!$A$1:$D$41,2,0),"Merchant not found")</f>
        <v>Merchant_005</v>
      </c>
      <c r="K305" s="6" t="str">
        <f>_xlfn.IFNA(VLOOKUP(C305,merchants!$A$1:$D$41,3,0),"Merchant not found")</f>
        <v>recharge</v>
      </c>
      <c r="L305" s="6" t="str">
        <f>_xlfn.IFNA(VLOOKUP(C305,merchants!$A$1:$D$41,4,0),"Merchant not found")</f>
        <v>South</v>
      </c>
      <c r="M305" s="9">
        <f t="shared" si="9"/>
        <v>0</v>
      </c>
      <c r="N305" s="6" t="str">
        <f>IF(AND(L305&lt;&gt;"East",SUMIFS(merchant_workbook_pivot_table!$D$2:$D$444,merchant_workbook_pivot_table!$C$2:$C$444,E305,merchant_workbook_pivot_table!$B$2:$B$444,J305)&gt;5000),"High-Value Merchant Day",IF(AND(L305&lt;&gt;"East",SUMIFS(merchant_workbook_pivot_table!$D$2:$D$444,merchant_workbook_pivot_table!$C$2:$C$444,E305,merchant_workbook_pivot_table!$B$2:$B$444,J305)&gt;1000),"Mid-Value Merchant Day",""))</f>
        <v/>
      </c>
    </row>
    <row r="306">
      <c r="A306" s="3" t="s">
        <v>373</v>
      </c>
      <c r="B306" s="2">
        <v>263</v>
      </c>
      <c r="C306" s="2">
        <v>11</v>
      </c>
      <c r="D306" s="8" t="s">
        <v>926</v>
      </c>
      <c r="E306" s="6" t="str">
        <f t="shared" si="8"/>
        <v>2026-01-21</v>
      </c>
      <c r="F306" s="2">
        <v>149</v>
      </c>
      <c r="G306" s="3" t="s">
        <v>63</v>
      </c>
      <c r="H306" s="3" t="s">
        <v>64</v>
      </c>
      <c r="I306" s="2">
        <v>3</v>
      </c>
      <c r="J306" s="6" t="str">
        <f>_xlfn.IFNA(VLOOKUP(C306,merchants!$A$1:$D$41,2,0),"Merchant not found")</f>
        <v>Merchant_011</v>
      </c>
      <c r="K306" s="6" t="str">
        <f>_xlfn.IFNA(VLOOKUP(C306,merchants!$A$1:$D$41,3,0),"Merchant not found")</f>
        <v>ecommerce</v>
      </c>
      <c r="L306" s="6" t="str">
        <f>_xlfn.IFNA(VLOOKUP(C306,merchants!$A$1:$D$41,4,0),"Merchant not found")</f>
        <v>North</v>
      </c>
      <c r="M306" s="9">
        <f t="shared" si="9"/>
        <v>2.2349999999999999</v>
      </c>
      <c r="N306" s="6" t="str">
        <f>IF(AND(L306&lt;&gt;"East",SUMIFS(merchant_workbook_pivot_table!$D$2:$D$444,merchant_workbook_pivot_table!$C$2:$C$444,E306,merchant_workbook_pivot_table!$B$2:$B$444,J306)&gt;5000),"High-Value Merchant Day",IF(AND(L306&lt;&gt;"East",SUMIFS(merchant_workbook_pivot_table!$D$2:$D$444,merchant_workbook_pivot_table!$C$2:$C$444,E306,merchant_workbook_pivot_table!$B$2:$B$444,J306)&gt;1000),"Mid-Value Merchant Day",""))</f>
        <v/>
      </c>
    </row>
    <row r="307">
      <c r="A307" s="3" t="s">
        <v>374</v>
      </c>
      <c r="B307" s="2">
        <v>225</v>
      </c>
      <c r="C307" s="2">
        <v>3</v>
      </c>
      <c r="D307" s="8" t="s">
        <v>927</v>
      </c>
      <c r="E307" s="6" t="str">
        <f t="shared" si="8"/>
        <v>2026-01-05</v>
      </c>
      <c r="F307" s="2">
        <v>99</v>
      </c>
      <c r="G307" s="3" t="s">
        <v>69</v>
      </c>
      <c r="H307" s="3" t="s">
        <v>64</v>
      </c>
      <c r="I307" s="2">
        <v>16</v>
      </c>
      <c r="J307" s="6" t="str">
        <f>_xlfn.IFNA(VLOOKUP(C307,merchants!$A$1:$D$41,2,0),"Merchant not found")</f>
        <v>Merchant_003</v>
      </c>
      <c r="K307" s="6" t="str">
        <f>_xlfn.IFNA(VLOOKUP(C307,merchants!$A$1:$D$41,3,0),"Merchant not found")</f>
        <v>grocery</v>
      </c>
      <c r="L307" s="6" t="str">
        <f>_xlfn.IFNA(VLOOKUP(C307,merchants!$A$1:$D$41,4,0),"Merchant not found")</f>
        <v>East</v>
      </c>
      <c r="M307" s="9">
        <f t="shared" si="9"/>
        <v>0.98999999999999999</v>
      </c>
      <c r="N307" s="6" t="str">
        <f>IF(AND(L307&lt;&gt;"East",SUMIFS(merchant_workbook_pivot_table!$D$2:$D$444,merchant_workbook_pivot_table!$C$2:$C$444,E307,merchant_workbook_pivot_table!$B$2:$B$444,J307)&gt;5000),"High-Value Merchant Day",IF(AND(L307&lt;&gt;"East",SUMIFS(merchant_workbook_pivot_table!$D$2:$D$444,merchant_workbook_pivot_table!$C$2:$C$444,E307,merchant_workbook_pivot_table!$B$2:$B$444,J307)&gt;1000),"Mid-Value Merchant Day",""))</f>
        <v/>
      </c>
    </row>
    <row r="308">
      <c r="A308" s="3" t="s">
        <v>375</v>
      </c>
      <c r="B308" s="2">
        <v>331</v>
      </c>
      <c r="C308" s="2">
        <v>24</v>
      </c>
      <c r="D308" s="8" t="s">
        <v>928</v>
      </c>
      <c r="E308" s="6" t="str">
        <f t="shared" si="8"/>
        <v>2026-01-03</v>
      </c>
      <c r="F308" s="2">
        <v>49</v>
      </c>
      <c r="G308" s="3" t="s">
        <v>78</v>
      </c>
      <c r="H308" s="3" t="s">
        <v>64</v>
      </c>
      <c r="I308" s="2">
        <v>46</v>
      </c>
      <c r="J308" s="6" t="str">
        <f>_xlfn.IFNA(VLOOKUP(C308,merchants!$A$1:$D$41,2,0),"Merchant not found")</f>
        <v>Merchant_024</v>
      </c>
      <c r="K308" s="6" t="str">
        <f>_xlfn.IFNA(VLOOKUP(C308,merchants!$A$1:$D$41,3,0),"Merchant not found")</f>
        <v>grocery</v>
      </c>
      <c r="L308" s="6" t="str">
        <f>_xlfn.IFNA(VLOOKUP(C308,merchants!$A$1:$D$41,4,0),"Merchant not found")</f>
        <v>North</v>
      </c>
      <c r="M308" s="9">
        <f t="shared" si="9"/>
        <v>0.97999999999999998</v>
      </c>
      <c r="N308" s="6" t="str">
        <f>IF(AND(L308&lt;&gt;"East",SUMIFS(merchant_workbook_pivot_table!$D$2:$D$444,merchant_workbook_pivot_table!$C$2:$C$444,E308,merchant_workbook_pivot_table!$B$2:$B$444,J308)&gt;5000),"High-Value Merchant Day",IF(AND(L308&lt;&gt;"East",SUMIFS(merchant_workbook_pivot_table!$D$2:$D$444,merchant_workbook_pivot_table!$C$2:$C$444,E308,merchant_workbook_pivot_table!$B$2:$B$444,J308)&gt;1000),"Mid-Value Merchant Day",""))</f>
        <v/>
      </c>
    </row>
    <row r="309">
      <c r="A309" s="3" t="s">
        <v>376</v>
      </c>
      <c r="B309" s="2">
        <v>310</v>
      </c>
      <c r="C309" s="2">
        <v>10</v>
      </c>
      <c r="D309" s="8" t="s">
        <v>929</v>
      </c>
      <c r="E309" s="6" t="str">
        <f t="shared" si="8"/>
        <v>2026-01-13</v>
      </c>
      <c r="F309" s="2">
        <v>1499</v>
      </c>
      <c r="G309" s="3" t="s">
        <v>78</v>
      </c>
      <c r="H309" s="3" t="s">
        <v>64</v>
      </c>
      <c r="I309" s="2">
        <v>86</v>
      </c>
      <c r="J309" s="6" t="str">
        <f>_xlfn.IFNA(VLOOKUP(C309,merchants!$A$1:$D$41,2,0),"Merchant not found")</f>
        <v>Merchant_010</v>
      </c>
      <c r="K309" s="6" t="str">
        <f>_xlfn.IFNA(VLOOKUP(C309,merchants!$A$1:$D$41,3,0),"Merchant not found")</f>
        <v>grocery</v>
      </c>
      <c r="L309" s="6" t="str">
        <f>_xlfn.IFNA(VLOOKUP(C309,merchants!$A$1:$D$41,4,0),"Merchant not found")</f>
        <v>West</v>
      </c>
      <c r="M309" s="9">
        <f t="shared" si="9"/>
        <v>29.98</v>
      </c>
      <c r="N309" s="6" t="str">
        <f>IF(AND(L309&lt;&gt;"East",SUMIFS(merchant_workbook_pivot_table!$D$2:$D$444,merchant_workbook_pivot_table!$C$2:$C$444,E309,merchant_workbook_pivot_table!$B$2:$B$444,J309)&gt;5000),"High-Value Merchant Day",IF(AND(L309&lt;&gt;"East",SUMIFS(merchant_workbook_pivot_table!$D$2:$D$444,merchant_workbook_pivot_table!$C$2:$C$444,E309,merchant_workbook_pivot_table!$B$2:$B$444,J309)&gt;1000),"Mid-Value Merchant Day",""))</f>
        <v xml:space="preserve">Mid-Value Merchant Day</v>
      </c>
    </row>
    <row r="310">
      <c r="A310" s="3" t="s">
        <v>377</v>
      </c>
      <c r="B310" s="2">
        <v>228</v>
      </c>
      <c r="C310" s="2">
        <v>5</v>
      </c>
      <c r="D310" s="8" t="s">
        <v>930</v>
      </c>
      <c r="E310" s="6" t="str">
        <f t="shared" si="8"/>
        <v>2026-01-15</v>
      </c>
      <c r="F310" s="2">
        <v>49</v>
      </c>
      <c r="G310" s="3" t="s">
        <v>66</v>
      </c>
      <c r="H310" s="3" t="s">
        <v>64</v>
      </c>
      <c r="I310" s="2">
        <v>73</v>
      </c>
      <c r="J310" s="6" t="str">
        <f>_xlfn.IFNA(VLOOKUP(C310,merchants!$A$1:$D$41,2,0),"Merchant not found")</f>
        <v>Merchant_005</v>
      </c>
      <c r="K310" s="6" t="str">
        <f>_xlfn.IFNA(VLOOKUP(C310,merchants!$A$1:$D$41,3,0),"Merchant not found")</f>
        <v>recharge</v>
      </c>
      <c r="L310" s="6" t="str">
        <f>_xlfn.IFNA(VLOOKUP(C310,merchants!$A$1:$D$41,4,0),"Merchant not found")</f>
        <v>South</v>
      </c>
      <c r="M310" s="9">
        <f t="shared" si="9"/>
        <v>0</v>
      </c>
      <c r="N310" s="6" t="str">
        <f>IF(AND(L310&lt;&gt;"East",SUMIFS(merchant_workbook_pivot_table!$D$2:$D$444,merchant_workbook_pivot_table!$C$2:$C$444,E310,merchant_workbook_pivot_table!$B$2:$B$444,J310)&gt;5000),"High-Value Merchant Day",IF(AND(L310&lt;&gt;"East",SUMIFS(merchant_workbook_pivot_table!$D$2:$D$444,merchant_workbook_pivot_table!$C$2:$C$444,E310,merchant_workbook_pivot_table!$B$2:$B$444,J310)&gt;1000),"Mid-Value Merchant Day",""))</f>
        <v/>
      </c>
    </row>
    <row r="311">
      <c r="A311" s="3" t="s">
        <v>378</v>
      </c>
      <c r="B311" s="2">
        <v>204</v>
      </c>
      <c r="C311" s="2">
        <v>21</v>
      </c>
      <c r="D311" s="8" t="s">
        <v>931</v>
      </c>
      <c r="E311" s="6" t="str">
        <f t="shared" si="8"/>
        <v>2026-01-05</v>
      </c>
      <c r="F311" s="2">
        <v>499</v>
      </c>
      <c r="G311" s="3" t="s">
        <v>66</v>
      </c>
      <c r="H311" s="3" t="s">
        <v>64</v>
      </c>
      <c r="I311" s="2">
        <v>83</v>
      </c>
      <c r="J311" s="6" t="str">
        <f>_xlfn.IFNA(VLOOKUP(C311,merchants!$A$1:$D$41,2,0),"Merchant not found")</f>
        <v>Merchant_021</v>
      </c>
      <c r="K311" s="6" t="str">
        <f>_xlfn.IFNA(VLOOKUP(C311,merchants!$A$1:$D$41,3,0),"Merchant not found")</f>
        <v>food_delivery</v>
      </c>
      <c r="L311" s="6" t="str">
        <f>_xlfn.IFNA(VLOOKUP(C311,merchants!$A$1:$D$41,4,0),"Merchant not found")</f>
        <v>East</v>
      </c>
      <c r="M311" s="9">
        <f t="shared" si="9"/>
        <v>0</v>
      </c>
      <c r="N311" s="6" t="str">
        <f>IF(AND(L311&lt;&gt;"East",SUMIFS(merchant_workbook_pivot_table!$D$2:$D$444,merchant_workbook_pivot_table!$C$2:$C$444,E311,merchant_workbook_pivot_table!$B$2:$B$444,J311)&gt;5000),"High-Value Merchant Day",IF(AND(L311&lt;&gt;"East",SUMIFS(merchant_workbook_pivot_table!$D$2:$D$444,merchant_workbook_pivot_table!$C$2:$C$444,E311,merchant_workbook_pivot_table!$B$2:$B$444,J311)&gt;1000),"Mid-Value Merchant Day",""))</f>
        <v/>
      </c>
    </row>
    <row r="312">
      <c r="A312" s="3" t="s">
        <v>379</v>
      </c>
      <c r="B312" s="2">
        <v>14</v>
      </c>
      <c r="C312" s="2">
        <v>12</v>
      </c>
      <c r="D312" s="8" t="s">
        <v>703</v>
      </c>
      <c r="E312" s="6" t="str">
        <f t="shared" si="8"/>
        <v>2026-01-09</v>
      </c>
      <c r="F312" s="2">
        <v>799</v>
      </c>
      <c r="G312" s="3" t="s">
        <v>69</v>
      </c>
      <c r="H312" s="3" t="s">
        <v>64</v>
      </c>
      <c r="I312" s="2">
        <v>63</v>
      </c>
      <c r="J312" s="6" t="str">
        <f>_xlfn.IFNA(VLOOKUP(C312,merchants!$A$1:$D$41,2,0),"Merchant not found")</f>
        <v>Merchant_012</v>
      </c>
      <c r="K312" s="6" t="str">
        <f>_xlfn.IFNA(VLOOKUP(C312,merchants!$A$1:$D$41,3,0),"Merchant not found")</f>
        <v>ecommerce</v>
      </c>
      <c r="L312" s="6" t="str">
        <f>_xlfn.IFNA(VLOOKUP(C312,merchants!$A$1:$D$41,4,0),"Merchant not found")</f>
        <v>East</v>
      </c>
      <c r="M312" s="9">
        <f t="shared" si="9"/>
        <v>7.9900000000000002</v>
      </c>
      <c r="N312" s="6" t="str">
        <f>IF(AND(L312&lt;&gt;"East",SUMIFS(merchant_workbook_pivot_table!$D$2:$D$444,merchant_workbook_pivot_table!$C$2:$C$444,E312,merchant_workbook_pivot_table!$B$2:$B$444,J312)&gt;5000),"High-Value Merchant Day",IF(AND(L312&lt;&gt;"East",SUMIFS(merchant_workbook_pivot_table!$D$2:$D$444,merchant_workbook_pivot_table!$C$2:$C$444,E312,merchant_workbook_pivot_table!$B$2:$B$444,J312)&gt;1000),"Mid-Value Merchant Day",""))</f>
        <v/>
      </c>
    </row>
    <row r="313">
      <c r="A313" s="3" t="s">
        <v>380</v>
      </c>
      <c r="B313" s="2">
        <v>288</v>
      </c>
      <c r="C313" s="2">
        <v>8</v>
      </c>
      <c r="D313" s="8" t="s">
        <v>932</v>
      </c>
      <c r="E313" s="6" t="str">
        <f t="shared" si="8"/>
        <v>2026-01-17</v>
      </c>
      <c r="F313" s="2">
        <v>49</v>
      </c>
      <c r="G313" s="3" t="s">
        <v>66</v>
      </c>
      <c r="H313" s="3" t="s">
        <v>64</v>
      </c>
      <c r="I313" s="2">
        <v>33</v>
      </c>
      <c r="J313" s="6" t="str">
        <f>_xlfn.IFNA(VLOOKUP(C313,merchants!$A$1:$D$41,2,0),"Merchant not found")</f>
        <v>Merchant_008</v>
      </c>
      <c r="K313" s="6" t="str">
        <f>_xlfn.IFNA(VLOOKUP(C313,merchants!$A$1:$D$41,3,0),"Merchant not found")</f>
        <v>food_delivery</v>
      </c>
      <c r="L313" s="6" t="str">
        <f>_xlfn.IFNA(VLOOKUP(C313,merchants!$A$1:$D$41,4,0),"Merchant not found")</f>
        <v>North</v>
      </c>
      <c r="M313" s="9">
        <f t="shared" si="9"/>
        <v>0</v>
      </c>
      <c r="N313" s="6" t="str">
        <f>IF(AND(L313&lt;&gt;"East",SUMIFS(merchant_workbook_pivot_table!$D$2:$D$444,merchant_workbook_pivot_table!$C$2:$C$444,E313,merchant_workbook_pivot_table!$B$2:$B$444,J313)&gt;5000),"High-Value Merchant Day",IF(AND(L313&lt;&gt;"East",SUMIFS(merchant_workbook_pivot_table!$D$2:$D$444,merchant_workbook_pivot_table!$C$2:$C$444,E313,merchant_workbook_pivot_table!$B$2:$B$444,J313)&gt;1000),"Mid-Value Merchant Day",""))</f>
        <v/>
      </c>
    </row>
    <row r="314">
      <c r="A314" s="3" t="s">
        <v>381</v>
      </c>
      <c r="B314" s="2">
        <v>229</v>
      </c>
      <c r="C314" s="2">
        <v>14</v>
      </c>
      <c r="D314" s="8" t="s">
        <v>933</v>
      </c>
      <c r="E314" s="6" t="str">
        <f t="shared" si="8"/>
        <v>2026-01-25</v>
      </c>
      <c r="F314" s="2">
        <v>1499</v>
      </c>
      <c r="G314" s="3" t="s">
        <v>66</v>
      </c>
      <c r="H314" s="3" t="s">
        <v>64</v>
      </c>
      <c r="I314" s="2">
        <v>78</v>
      </c>
      <c r="J314" s="6" t="str">
        <f>_xlfn.IFNA(VLOOKUP(C314,merchants!$A$1:$D$41,2,0),"Merchant not found")</f>
        <v>Merchant_014</v>
      </c>
      <c r="K314" s="6" t="str">
        <f>_xlfn.IFNA(VLOOKUP(C314,merchants!$A$1:$D$41,3,0),"Merchant not found")</f>
        <v>grocery</v>
      </c>
      <c r="L314" s="6" t="str">
        <f>_xlfn.IFNA(VLOOKUP(C314,merchants!$A$1:$D$41,4,0),"Merchant not found")</f>
        <v>East</v>
      </c>
      <c r="M314" s="9">
        <f t="shared" si="9"/>
        <v>0</v>
      </c>
      <c r="N314" s="6" t="str">
        <f>IF(AND(L314&lt;&gt;"East",SUMIFS(merchant_workbook_pivot_table!$D$2:$D$444,merchant_workbook_pivot_table!$C$2:$C$444,E314,merchant_workbook_pivot_table!$B$2:$B$444,J314)&gt;5000),"High-Value Merchant Day",IF(AND(L314&lt;&gt;"East",SUMIFS(merchant_workbook_pivot_table!$D$2:$D$444,merchant_workbook_pivot_table!$C$2:$C$444,E314,merchant_workbook_pivot_table!$B$2:$B$444,J314)&gt;1000),"Mid-Value Merchant Day",""))</f>
        <v/>
      </c>
    </row>
    <row r="315">
      <c r="A315" s="3" t="s">
        <v>382</v>
      </c>
      <c r="B315" s="2">
        <v>252</v>
      </c>
      <c r="C315" s="2">
        <v>13</v>
      </c>
      <c r="D315" s="8" t="s">
        <v>934</v>
      </c>
      <c r="E315" s="6" t="str">
        <f t="shared" si="8"/>
        <v>2026-01-10</v>
      </c>
      <c r="F315" s="2">
        <v>99</v>
      </c>
      <c r="G315" s="3" t="s">
        <v>63</v>
      </c>
      <c r="H315" s="3" t="s">
        <v>64</v>
      </c>
      <c r="I315" s="2">
        <v>15</v>
      </c>
      <c r="J315" s="6" t="str">
        <f>_xlfn.IFNA(VLOOKUP(C315,merchants!$A$1:$D$41,2,0),"Merchant not found")</f>
        <v>Merchant_013</v>
      </c>
      <c r="K315" s="6" t="str">
        <f>_xlfn.IFNA(VLOOKUP(C315,merchants!$A$1:$D$41,3,0),"Merchant not found")</f>
        <v>travel</v>
      </c>
      <c r="L315" s="6" t="str">
        <f>_xlfn.IFNA(VLOOKUP(C315,merchants!$A$1:$D$41,4,0),"Merchant not found")</f>
        <v>East</v>
      </c>
      <c r="M315" s="9">
        <f t="shared" si="9"/>
        <v>1.4849999999999999</v>
      </c>
      <c r="N315" s="6" t="str">
        <f>IF(AND(L315&lt;&gt;"East",SUMIFS(merchant_workbook_pivot_table!$D$2:$D$444,merchant_workbook_pivot_table!$C$2:$C$444,E315,merchant_workbook_pivot_table!$B$2:$B$444,J315)&gt;5000),"High-Value Merchant Day",IF(AND(L315&lt;&gt;"East",SUMIFS(merchant_workbook_pivot_table!$D$2:$D$444,merchant_workbook_pivot_table!$C$2:$C$444,E315,merchant_workbook_pivot_table!$B$2:$B$444,J315)&gt;1000),"Mid-Value Merchant Day",""))</f>
        <v/>
      </c>
    </row>
    <row r="316">
      <c r="A316" s="3" t="s">
        <v>383</v>
      </c>
      <c r="B316" s="2">
        <v>89</v>
      </c>
      <c r="C316" s="2">
        <v>29</v>
      </c>
      <c r="D316" s="8" t="s">
        <v>935</v>
      </c>
      <c r="E316" s="6" t="str">
        <f t="shared" si="8"/>
        <v>2026-01-05</v>
      </c>
      <c r="F316" s="2">
        <v>799</v>
      </c>
      <c r="G316" s="3" t="s">
        <v>66</v>
      </c>
      <c r="H316" s="3" t="s">
        <v>64</v>
      </c>
      <c r="I316" s="2">
        <v>11</v>
      </c>
      <c r="J316" s="6" t="str">
        <f>_xlfn.IFNA(VLOOKUP(C316,merchants!$A$1:$D$41,2,0),"Merchant not found")</f>
        <v>Merchant_029</v>
      </c>
      <c r="K316" s="6" t="str">
        <f>_xlfn.IFNA(VLOOKUP(C316,merchants!$A$1:$D$41,3,0),"Merchant not found")</f>
        <v>ecommerce</v>
      </c>
      <c r="L316" s="6" t="str">
        <f>_xlfn.IFNA(VLOOKUP(C316,merchants!$A$1:$D$41,4,0),"Merchant not found")</f>
        <v>North</v>
      </c>
      <c r="M316" s="9">
        <f t="shared" si="9"/>
        <v>0</v>
      </c>
      <c r="N316" s="6" t="str">
        <f>IF(AND(L316&lt;&gt;"East",SUMIFS(merchant_workbook_pivot_table!$D$2:$D$444,merchant_workbook_pivot_table!$C$2:$C$444,E316,merchant_workbook_pivot_table!$B$2:$B$444,J316)&gt;5000),"High-Value Merchant Day",IF(AND(L316&lt;&gt;"East",SUMIFS(merchant_workbook_pivot_table!$D$2:$D$444,merchant_workbook_pivot_table!$C$2:$C$444,E316,merchant_workbook_pivot_table!$B$2:$B$444,J316)&gt;1000),"Mid-Value Merchant Day",""))</f>
        <v/>
      </c>
    </row>
    <row r="317">
      <c r="A317" s="3" t="s">
        <v>384</v>
      </c>
      <c r="B317" s="2">
        <v>164</v>
      </c>
      <c r="C317" s="2">
        <v>23</v>
      </c>
      <c r="D317" s="8" t="s">
        <v>936</v>
      </c>
      <c r="E317" s="6" t="str">
        <f t="shared" si="8"/>
        <v>2026-01-26</v>
      </c>
      <c r="F317" s="2">
        <v>49</v>
      </c>
      <c r="G317" s="3" t="s">
        <v>69</v>
      </c>
      <c r="H317" s="3" t="s">
        <v>64</v>
      </c>
      <c r="I317" s="2">
        <v>90</v>
      </c>
      <c r="J317" s="6" t="str">
        <f>_xlfn.IFNA(VLOOKUP(C317,merchants!$A$1:$D$41,2,0),"Merchant not found")</f>
        <v>Merchant_023</v>
      </c>
      <c r="K317" s="6" t="str">
        <f>_xlfn.IFNA(VLOOKUP(C317,merchants!$A$1:$D$41,3,0),"Merchant not found")</f>
        <v>travel</v>
      </c>
      <c r="L317" s="6" t="str">
        <f>_xlfn.IFNA(VLOOKUP(C317,merchants!$A$1:$D$41,4,0),"Merchant not found")</f>
        <v>North</v>
      </c>
      <c r="M317" s="9">
        <f t="shared" si="9"/>
        <v>0.48999999999999999</v>
      </c>
      <c r="N317" s="6" t="str">
        <f>IF(AND(L317&lt;&gt;"East",SUMIFS(merchant_workbook_pivot_table!$D$2:$D$444,merchant_workbook_pivot_table!$C$2:$C$444,E317,merchant_workbook_pivot_table!$B$2:$B$444,J317)&gt;5000),"High-Value Merchant Day",IF(AND(L317&lt;&gt;"East",SUMIFS(merchant_workbook_pivot_table!$D$2:$D$444,merchant_workbook_pivot_table!$C$2:$C$444,E317,merchant_workbook_pivot_table!$B$2:$B$444,J317)&gt;1000),"Mid-Value Merchant Day",""))</f>
        <v/>
      </c>
    </row>
    <row r="318">
      <c r="A318" s="3" t="s">
        <v>385</v>
      </c>
      <c r="B318" s="2">
        <v>149</v>
      </c>
      <c r="C318" s="2">
        <v>20</v>
      </c>
      <c r="D318" s="8" t="s">
        <v>937</v>
      </c>
      <c r="E318" s="6" t="str">
        <f t="shared" si="8"/>
        <v>2026-01-03</v>
      </c>
      <c r="F318" s="2">
        <v>299</v>
      </c>
      <c r="G318" s="3" t="s">
        <v>63</v>
      </c>
      <c r="H318" s="3" t="s">
        <v>64</v>
      </c>
      <c r="I318" s="2">
        <v>20</v>
      </c>
      <c r="J318" s="6" t="str">
        <f>_xlfn.IFNA(VLOOKUP(C318,merchants!$A$1:$D$41,2,0),"Merchant not found")</f>
        <v>Merchant_020</v>
      </c>
      <c r="K318" s="6" t="str">
        <f>_xlfn.IFNA(VLOOKUP(C318,merchants!$A$1:$D$41,3,0),"Merchant not found")</f>
        <v>food_delivery</v>
      </c>
      <c r="L318" s="6" t="str">
        <f>_xlfn.IFNA(VLOOKUP(C318,merchants!$A$1:$D$41,4,0),"Merchant not found")</f>
        <v>East</v>
      </c>
      <c r="M318" s="9">
        <f t="shared" si="9"/>
        <v>4.4849999999999994</v>
      </c>
      <c r="N318" s="6" t="str">
        <f>IF(AND(L318&lt;&gt;"East",SUMIFS(merchant_workbook_pivot_table!$D$2:$D$444,merchant_workbook_pivot_table!$C$2:$C$444,E318,merchant_workbook_pivot_table!$B$2:$B$444,J318)&gt;5000),"High-Value Merchant Day",IF(AND(L318&lt;&gt;"East",SUMIFS(merchant_workbook_pivot_table!$D$2:$D$444,merchant_workbook_pivot_table!$C$2:$C$444,E318,merchant_workbook_pivot_table!$B$2:$B$444,J318)&gt;1000),"Mid-Value Merchant Day",""))</f>
        <v/>
      </c>
    </row>
    <row r="319">
      <c r="A319" s="3" t="s">
        <v>386</v>
      </c>
      <c r="B319" s="2">
        <v>327</v>
      </c>
      <c r="C319" s="2">
        <v>12</v>
      </c>
      <c r="D319" s="8" t="s">
        <v>938</v>
      </c>
      <c r="E319" s="6" t="str">
        <f t="shared" si="8"/>
        <v>2026-01-23</v>
      </c>
      <c r="F319" s="2">
        <v>49</v>
      </c>
      <c r="G319" s="3" t="s">
        <v>69</v>
      </c>
      <c r="H319" s="3" t="s">
        <v>64</v>
      </c>
      <c r="I319" s="2">
        <v>46</v>
      </c>
      <c r="J319" s="6" t="str">
        <f>_xlfn.IFNA(VLOOKUP(C319,merchants!$A$1:$D$41,2,0),"Merchant not found")</f>
        <v>Merchant_012</v>
      </c>
      <c r="K319" s="6" t="str">
        <f>_xlfn.IFNA(VLOOKUP(C319,merchants!$A$1:$D$41,3,0),"Merchant not found")</f>
        <v>ecommerce</v>
      </c>
      <c r="L319" s="6" t="str">
        <f>_xlfn.IFNA(VLOOKUP(C319,merchants!$A$1:$D$41,4,0),"Merchant not found")</f>
        <v>East</v>
      </c>
      <c r="M319" s="9">
        <f t="shared" si="9"/>
        <v>0.48999999999999999</v>
      </c>
      <c r="N319" s="6" t="str">
        <f>IF(AND(L319&lt;&gt;"East",SUMIFS(merchant_workbook_pivot_table!$D$2:$D$444,merchant_workbook_pivot_table!$C$2:$C$444,E319,merchant_workbook_pivot_table!$B$2:$B$444,J319)&gt;5000),"High-Value Merchant Day",IF(AND(L319&lt;&gt;"East",SUMIFS(merchant_workbook_pivot_table!$D$2:$D$444,merchant_workbook_pivot_table!$C$2:$C$444,E319,merchant_workbook_pivot_table!$B$2:$B$444,J319)&gt;1000),"Mid-Value Merchant Day",""))</f>
        <v/>
      </c>
    </row>
    <row r="320">
      <c r="A320" s="3" t="s">
        <v>387</v>
      </c>
      <c r="B320" s="2">
        <v>103</v>
      </c>
      <c r="C320" s="2">
        <v>9</v>
      </c>
      <c r="D320" s="8" t="s">
        <v>939</v>
      </c>
      <c r="E320" s="6" t="str">
        <f t="shared" si="8"/>
        <v>2026-01-17</v>
      </c>
      <c r="F320" s="2">
        <v>149</v>
      </c>
      <c r="G320" s="3" t="s">
        <v>66</v>
      </c>
      <c r="H320" s="3" t="s">
        <v>64</v>
      </c>
      <c r="I320" s="2">
        <v>30</v>
      </c>
      <c r="J320" s="6" t="str">
        <f>_xlfn.IFNA(VLOOKUP(C320,merchants!$A$1:$D$41,2,0),"Merchant not found")</f>
        <v>Merchant_009</v>
      </c>
      <c r="K320" s="6" t="str">
        <f>_xlfn.IFNA(VLOOKUP(C320,merchants!$A$1:$D$41,3,0),"Merchant not found")</f>
        <v>ecommerce</v>
      </c>
      <c r="L320" s="6" t="str">
        <f>_xlfn.IFNA(VLOOKUP(C320,merchants!$A$1:$D$41,4,0),"Merchant not found")</f>
        <v>North</v>
      </c>
      <c r="M320" s="9">
        <f t="shared" si="9"/>
        <v>0</v>
      </c>
      <c r="N320" s="6" t="str">
        <f>IF(AND(L320&lt;&gt;"East",SUMIFS(merchant_workbook_pivot_table!$D$2:$D$444,merchant_workbook_pivot_table!$C$2:$C$444,E320,merchant_workbook_pivot_table!$B$2:$B$444,J320)&gt;5000),"High-Value Merchant Day",IF(AND(L320&lt;&gt;"East",SUMIFS(merchant_workbook_pivot_table!$D$2:$D$444,merchant_workbook_pivot_table!$C$2:$C$444,E320,merchant_workbook_pivot_table!$B$2:$B$444,J320)&gt;1000),"Mid-Value Merchant Day",""))</f>
        <v/>
      </c>
    </row>
    <row r="321">
      <c r="A321" s="3" t="s">
        <v>388</v>
      </c>
      <c r="B321" s="2">
        <v>185</v>
      </c>
      <c r="C321" s="2">
        <v>36</v>
      </c>
      <c r="D321" s="8" t="s">
        <v>940</v>
      </c>
      <c r="E321" s="6" t="str">
        <f t="shared" si="8"/>
        <v>2026-01-26</v>
      </c>
      <c r="F321" s="2">
        <v>49</v>
      </c>
      <c r="G321" s="3" t="s">
        <v>63</v>
      </c>
      <c r="H321" s="3" t="s">
        <v>64</v>
      </c>
      <c r="I321" s="2">
        <v>73</v>
      </c>
      <c r="J321" s="6" t="str">
        <f>_xlfn.IFNA(VLOOKUP(C321,merchants!$A$1:$D$41,2,0),"Merchant not found")</f>
        <v>Merchant_036</v>
      </c>
      <c r="K321" s="6" t="str">
        <f>_xlfn.IFNA(VLOOKUP(C321,merchants!$A$1:$D$41,3,0),"Merchant not found")</f>
        <v>entertainment</v>
      </c>
      <c r="L321" s="6" t="str">
        <f>_xlfn.IFNA(VLOOKUP(C321,merchants!$A$1:$D$41,4,0),"Merchant not found")</f>
        <v>East</v>
      </c>
      <c r="M321" s="9">
        <f t="shared" si="9"/>
        <v>0.73499999999999999</v>
      </c>
      <c r="N321" s="6" t="str">
        <f>IF(AND(L321&lt;&gt;"East",SUMIFS(merchant_workbook_pivot_table!$D$2:$D$444,merchant_workbook_pivot_table!$C$2:$C$444,E321,merchant_workbook_pivot_table!$B$2:$B$444,J321)&gt;5000),"High-Value Merchant Day",IF(AND(L321&lt;&gt;"East",SUMIFS(merchant_workbook_pivot_table!$D$2:$D$444,merchant_workbook_pivot_table!$C$2:$C$444,E321,merchant_workbook_pivot_table!$B$2:$B$444,J321)&gt;1000),"Mid-Value Merchant Day",""))</f>
        <v/>
      </c>
    </row>
    <row r="322">
      <c r="A322" s="3" t="s">
        <v>389</v>
      </c>
      <c r="B322" s="2">
        <v>283</v>
      </c>
      <c r="C322" s="2">
        <v>9</v>
      </c>
      <c r="D322" s="8" t="s">
        <v>941</v>
      </c>
      <c r="E322" s="6" t="str">
        <f t="shared" ref="E322:E385" si="10">LEFT(D322,10)</f>
        <v>2026-01-12</v>
      </c>
      <c r="F322" s="2">
        <v>299</v>
      </c>
      <c r="G322" s="3" t="s">
        <v>66</v>
      </c>
      <c r="H322" s="3" t="s">
        <v>64</v>
      </c>
      <c r="I322" s="2">
        <v>78</v>
      </c>
      <c r="J322" s="6" t="str">
        <f>_xlfn.IFNA(VLOOKUP(C322,merchants!$A$1:$D$41,2,0),"Merchant not found")</f>
        <v>Merchant_009</v>
      </c>
      <c r="K322" s="6" t="str">
        <f>_xlfn.IFNA(VLOOKUP(C322,merchants!$A$1:$D$41,3,0),"Merchant not found")</f>
        <v>ecommerce</v>
      </c>
      <c r="L322" s="6" t="str">
        <f>_xlfn.IFNA(VLOOKUP(C322,merchants!$A$1:$D$41,4,0),"Merchant not found")</f>
        <v>North</v>
      </c>
      <c r="M322" s="9">
        <f t="shared" ref="M322:M385" si="11">F322*(HLOOKUP(G322,$Q$1:$T$2,2,0))</f>
        <v>0</v>
      </c>
      <c r="N322" s="6" t="str">
        <f>IF(AND(L322&lt;&gt;"East",SUMIFS(merchant_workbook_pivot_table!$D$2:$D$444,merchant_workbook_pivot_table!$C$2:$C$444,E322,merchant_workbook_pivot_table!$B$2:$B$444,J322)&gt;5000),"High-Value Merchant Day",IF(AND(L322&lt;&gt;"East",SUMIFS(merchant_workbook_pivot_table!$D$2:$D$444,merchant_workbook_pivot_table!$C$2:$C$444,E322,merchant_workbook_pivot_table!$B$2:$B$444,J322)&gt;1000),"Mid-Value Merchant Day",""))</f>
        <v/>
      </c>
    </row>
    <row r="323">
      <c r="A323" s="3" t="s">
        <v>390</v>
      </c>
      <c r="B323" s="2">
        <v>159</v>
      </c>
      <c r="C323" s="2">
        <v>26</v>
      </c>
      <c r="D323" s="8" t="s">
        <v>942</v>
      </c>
      <c r="E323" s="6" t="str">
        <f t="shared" si="10"/>
        <v>2026-01-29</v>
      </c>
      <c r="F323" s="2">
        <v>99</v>
      </c>
      <c r="G323" s="3" t="s">
        <v>66</v>
      </c>
      <c r="H323" s="3" t="s">
        <v>64</v>
      </c>
      <c r="I323" s="2">
        <v>91</v>
      </c>
      <c r="J323" s="6" t="str">
        <f>_xlfn.IFNA(VLOOKUP(C323,merchants!$A$1:$D$41,2,0),"Merchant not found")</f>
        <v>Merchant_026</v>
      </c>
      <c r="K323" s="6" t="str">
        <f>_xlfn.IFNA(VLOOKUP(C323,merchants!$A$1:$D$41,3,0),"Merchant not found")</f>
        <v>food_delivery</v>
      </c>
      <c r="L323" s="6" t="str">
        <f>_xlfn.IFNA(VLOOKUP(C323,merchants!$A$1:$D$41,4,0),"Merchant not found")</f>
        <v>East</v>
      </c>
      <c r="M323" s="9">
        <f t="shared" si="11"/>
        <v>0</v>
      </c>
      <c r="N323" s="6" t="str">
        <f>IF(AND(L323&lt;&gt;"East",SUMIFS(merchant_workbook_pivot_table!$D$2:$D$444,merchant_workbook_pivot_table!$C$2:$C$444,E323,merchant_workbook_pivot_table!$B$2:$B$444,J323)&gt;5000),"High-Value Merchant Day",IF(AND(L323&lt;&gt;"East",SUMIFS(merchant_workbook_pivot_table!$D$2:$D$444,merchant_workbook_pivot_table!$C$2:$C$444,E323,merchant_workbook_pivot_table!$B$2:$B$444,J323)&gt;1000),"Mid-Value Merchant Day",""))</f>
        <v/>
      </c>
    </row>
    <row r="324">
      <c r="A324" s="3" t="s">
        <v>391</v>
      </c>
      <c r="B324" s="2">
        <v>211</v>
      </c>
      <c r="C324" s="2">
        <v>27</v>
      </c>
      <c r="D324" s="8" t="s">
        <v>943</v>
      </c>
      <c r="E324" s="6" t="str">
        <f t="shared" si="10"/>
        <v>2026-01-24</v>
      </c>
      <c r="F324" s="2">
        <v>99</v>
      </c>
      <c r="G324" s="3" t="s">
        <v>63</v>
      </c>
      <c r="H324" s="3" t="s">
        <v>64</v>
      </c>
      <c r="I324" s="2">
        <v>73</v>
      </c>
      <c r="J324" s="6" t="str">
        <f>_xlfn.IFNA(VLOOKUP(C324,merchants!$A$1:$D$41,2,0),"Merchant not found")</f>
        <v>Merchant_027</v>
      </c>
      <c r="K324" s="6" t="str">
        <f>_xlfn.IFNA(VLOOKUP(C324,merchants!$A$1:$D$41,3,0),"Merchant not found")</f>
        <v>ecommerce</v>
      </c>
      <c r="L324" s="6" t="str">
        <f>_xlfn.IFNA(VLOOKUP(C324,merchants!$A$1:$D$41,4,0),"Merchant not found")</f>
        <v>North</v>
      </c>
      <c r="M324" s="9">
        <f t="shared" si="11"/>
        <v>1.4849999999999999</v>
      </c>
      <c r="N324" s="6" t="str">
        <f>IF(AND(L324&lt;&gt;"East",SUMIFS(merchant_workbook_pivot_table!$D$2:$D$444,merchant_workbook_pivot_table!$C$2:$C$444,E324,merchant_workbook_pivot_table!$B$2:$B$444,J324)&gt;5000),"High-Value Merchant Day",IF(AND(L324&lt;&gt;"East",SUMIFS(merchant_workbook_pivot_table!$D$2:$D$444,merchant_workbook_pivot_table!$C$2:$C$444,E324,merchant_workbook_pivot_table!$B$2:$B$444,J324)&gt;1000),"Mid-Value Merchant Day",""))</f>
        <v/>
      </c>
    </row>
    <row r="325">
      <c r="A325" s="3" t="s">
        <v>392</v>
      </c>
      <c r="B325" s="2">
        <v>329</v>
      </c>
      <c r="C325" s="2">
        <v>5</v>
      </c>
      <c r="D325" s="8" t="s">
        <v>944</v>
      </c>
      <c r="E325" s="6" t="str">
        <f t="shared" si="10"/>
        <v>2026-01-03</v>
      </c>
      <c r="F325" s="2">
        <v>499</v>
      </c>
      <c r="G325" s="3" t="s">
        <v>69</v>
      </c>
      <c r="H325" s="3" t="s">
        <v>64</v>
      </c>
      <c r="I325" s="2">
        <v>57</v>
      </c>
      <c r="J325" s="6" t="str">
        <f>_xlfn.IFNA(VLOOKUP(C325,merchants!$A$1:$D$41,2,0),"Merchant not found")</f>
        <v>Merchant_005</v>
      </c>
      <c r="K325" s="6" t="str">
        <f>_xlfn.IFNA(VLOOKUP(C325,merchants!$A$1:$D$41,3,0),"Merchant not found")</f>
        <v>recharge</v>
      </c>
      <c r="L325" s="6" t="str">
        <f>_xlfn.IFNA(VLOOKUP(C325,merchants!$A$1:$D$41,4,0),"Merchant not found")</f>
        <v>South</v>
      </c>
      <c r="M325" s="9">
        <f t="shared" si="11"/>
        <v>4.9900000000000002</v>
      </c>
      <c r="N325" s="6" t="str">
        <f>IF(AND(L325&lt;&gt;"East",SUMIFS(merchant_workbook_pivot_table!$D$2:$D$444,merchant_workbook_pivot_table!$C$2:$C$444,E325,merchant_workbook_pivot_table!$B$2:$B$444,J325)&gt;5000),"High-Value Merchant Day",IF(AND(L325&lt;&gt;"East",SUMIFS(merchant_workbook_pivot_table!$D$2:$D$444,merchant_workbook_pivot_table!$C$2:$C$444,E325,merchant_workbook_pivot_table!$B$2:$B$444,J325)&gt;1000),"Mid-Value Merchant Day",""))</f>
        <v/>
      </c>
    </row>
    <row r="326">
      <c r="A326" s="3" t="s">
        <v>393</v>
      </c>
      <c r="B326" s="2">
        <v>177</v>
      </c>
      <c r="C326" s="2">
        <v>9</v>
      </c>
      <c r="D326" s="8" t="s">
        <v>945</v>
      </c>
      <c r="E326" s="6" t="str">
        <f t="shared" si="10"/>
        <v>2026-01-15</v>
      </c>
      <c r="F326" s="2">
        <v>99</v>
      </c>
      <c r="G326" s="3" t="s">
        <v>66</v>
      </c>
      <c r="H326" s="3" t="s">
        <v>64</v>
      </c>
      <c r="I326" s="2">
        <v>99</v>
      </c>
      <c r="J326" s="6" t="str">
        <f>_xlfn.IFNA(VLOOKUP(C326,merchants!$A$1:$D$41,2,0),"Merchant not found")</f>
        <v>Merchant_009</v>
      </c>
      <c r="K326" s="6" t="str">
        <f>_xlfn.IFNA(VLOOKUP(C326,merchants!$A$1:$D$41,3,0),"Merchant not found")</f>
        <v>ecommerce</v>
      </c>
      <c r="L326" s="6" t="str">
        <f>_xlfn.IFNA(VLOOKUP(C326,merchants!$A$1:$D$41,4,0),"Merchant not found")</f>
        <v>North</v>
      </c>
      <c r="M326" s="9">
        <f t="shared" si="11"/>
        <v>0</v>
      </c>
      <c r="N326" s="6" t="str">
        <f>IF(AND(L326&lt;&gt;"East",SUMIFS(merchant_workbook_pivot_table!$D$2:$D$444,merchant_workbook_pivot_table!$C$2:$C$444,E326,merchant_workbook_pivot_table!$B$2:$B$444,J326)&gt;5000),"High-Value Merchant Day",IF(AND(L326&lt;&gt;"East",SUMIFS(merchant_workbook_pivot_table!$D$2:$D$444,merchant_workbook_pivot_table!$C$2:$C$444,E326,merchant_workbook_pivot_table!$B$2:$B$444,J326)&gt;1000),"Mid-Value Merchant Day",""))</f>
        <v/>
      </c>
    </row>
    <row r="327">
      <c r="A327" s="3" t="s">
        <v>394</v>
      </c>
      <c r="B327" s="2">
        <v>94</v>
      </c>
      <c r="C327" s="2">
        <v>9</v>
      </c>
      <c r="D327" s="8" t="s">
        <v>946</v>
      </c>
      <c r="E327" s="6" t="str">
        <f t="shared" si="10"/>
        <v>2026-01-18</v>
      </c>
      <c r="F327" s="2">
        <v>299</v>
      </c>
      <c r="G327" s="3" t="s">
        <v>66</v>
      </c>
      <c r="H327" s="3" t="s">
        <v>64</v>
      </c>
      <c r="I327" s="2">
        <v>55</v>
      </c>
      <c r="J327" s="6" t="str">
        <f>_xlfn.IFNA(VLOOKUP(C327,merchants!$A$1:$D$41,2,0),"Merchant not found")</f>
        <v>Merchant_009</v>
      </c>
      <c r="K327" s="6" t="str">
        <f>_xlfn.IFNA(VLOOKUP(C327,merchants!$A$1:$D$41,3,0),"Merchant not found")</f>
        <v>ecommerce</v>
      </c>
      <c r="L327" s="6" t="str">
        <f>_xlfn.IFNA(VLOOKUP(C327,merchants!$A$1:$D$41,4,0),"Merchant not found")</f>
        <v>North</v>
      </c>
      <c r="M327" s="9">
        <f t="shared" si="11"/>
        <v>0</v>
      </c>
      <c r="N327" s="6" t="str">
        <f>IF(AND(L327&lt;&gt;"East",SUMIFS(merchant_workbook_pivot_table!$D$2:$D$444,merchant_workbook_pivot_table!$C$2:$C$444,E327,merchant_workbook_pivot_table!$B$2:$B$444,J327)&gt;5000),"High-Value Merchant Day",IF(AND(L327&lt;&gt;"East",SUMIFS(merchant_workbook_pivot_table!$D$2:$D$444,merchant_workbook_pivot_table!$C$2:$C$444,E327,merchant_workbook_pivot_table!$B$2:$B$444,J327)&gt;1000),"Mid-Value Merchant Day",""))</f>
        <v/>
      </c>
    </row>
    <row r="328">
      <c r="A328" s="3" t="s">
        <v>395</v>
      </c>
      <c r="B328" s="2">
        <v>64</v>
      </c>
      <c r="C328" s="2">
        <v>34</v>
      </c>
      <c r="D328" s="8" t="s">
        <v>947</v>
      </c>
      <c r="E328" s="6" t="str">
        <f t="shared" si="10"/>
        <v>2026-01-17</v>
      </c>
      <c r="F328" s="2">
        <v>299</v>
      </c>
      <c r="G328" s="3" t="s">
        <v>66</v>
      </c>
      <c r="H328" s="3" t="s">
        <v>64</v>
      </c>
      <c r="I328" s="2">
        <v>19</v>
      </c>
      <c r="J328" s="6" t="str">
        <f>_xlfn.IFNA(VLOOKUP(C328,merchants!$A$1:$D$41,2,0),"Merchant not found")</f>
        <v>Merchant_034</v>
      </c>
      <c r="K328" s="6" t="str">
        <f>_xlfn.IFNA(VLOOKUP(C328,merchants!$A$1:$D$41,3,0),"Merchant not found")</f>
        <v>travel</v>
      </c>
      <c r="L328" s="6" t="str">
        <f>_xlfn.IFNA(VLOOKUP(C328,merchants!$A$1:$D$41,4,0),"Merchant not found")</f>
        <v>South</v>
      </c>
      <c r="M328" s="9">
        <f t="shared" si="11"/>
        <v>0</v>
      </c>
      <c r="N328" s="6" t="str">
        <f>IF(AND(L328&lt;&gt;"East",SUMIFS(merchant_workbook_pivot_table!$D$2:$D$444,merchant_workbook_pivot_table!$C$2:$C$444,E328,merchant_workbook_pivot_table!$B$2:$B$444,J328)&gt;5000),"High-Value Merchant Day",IF(AND(L328&lt;&gt;"East",SUMIFS(merchant_workbook_pivot_table!$D$2:$D$444,merchant_workbook_pivot_table!$C$2:$C$444,E328,merchant_workbook_pivot_table!$B$2:$B$444,J328)&gt;1000),"Mid-Value Merchant Day",""))</f>
        <v/>
      </c>
    </row>
    <row r="329">
      <c r="A329" s="3" t="s">
        <v>396</v>
      </c>
      <c r="B329" s="2">
        <v>166</v>
      </c>
      <c r="C329" s="2">
        <v>15</v>
      </c>
      <c r="D329" s="8" t="s">
        <v>948</v>
      </c>
      <c r="E329" s="6" t="str">
        <f t="shared" si="10"/>
        <v>2026-01-10</v>
      </c>
      <c r="F329" s="2">
        <v>49</v>
      </c>
      <c r="G329" s="3" t="s">
        <v>66</v>
      </c>
      <c r="H329" s="3" t="s">
        <v>64</v>
      </c>
      <c r="I329" s="2">
        <v>44</v>
      </c>
      <c r="J329" s="6" t="str">
        <f>_xlfn.IFNA(VLOOKUP(C329,merchants!$A$1:$D$41,2,0),"Merchant not found")</f>
        <v>Merchant_015</v>
      </c>
      <c r="K329" s="6" t="str">
        <f>_xlfn.IFNA(VLOOKUP(C329,merchants!$A$1:$D$41,3,0),"Merchant not found")</f>
        <v>travel</v>
      </c>
      <c r="L329" s="6" t="str">
        <f>_xlfn.IFNA(VLOOKUP(C329,merchants!$A$1:$D$41,4,0),"Merchant not found")</f>
        <v>North</v>
      </c>
      <c r="M329" s="9">
        <f t="shared" si="11"/>
        <v>0</v>
      </c>
      <c r="N329" s="6" t="str">
        <f>IF(AND(L329&lt;&gt;"East",SUMIFS(merchant_workbook_pivot_table!$D$2:$D$444,merchant_workbook_pivot_table!$C$2:$C$444,E329,merchant_workbook_pivot_table!$B$2:$B$444,J329)&gt;5000),"High-Value Merchant Day",IF(AND(L329&lt;&gt;"East",SUMIFS(merchant_workbook_pivot_table!$D$2:$D$444,merchant_workbook_pivot_table!$C$2:$C$444,E329,merchant_workbook_pivot_table!$B$2:$B$444,J329)&gt;1000),"Mid-Value Merchant Day",""))</f>
        <v/>
      </c>
    </row>
    <row r="330">
      <c r="A330" s="3" t="s">
        <v>397</v>
      </c>
      <c r="B330" s="2">
        <v>41</v>
      </c>
      <c r="C330" s="2">
        <v>17</v>
      </c>
      <c r="D330" s="8" t="s">
        <v>949</v>
      </c>
      <c r="E330" s="6" t="str">
        <f t="shared" si="10"/>
        <v>2026-01-17</v>
      </c>
      <c r="F330" s="2">
        <v>299</v>
      </c>
      <c r="G330" s="3" t="s">
        <v>63</v>
      </c>
      <c r="H330" s="3" t="s">
        <v>64</v>
      </c>
      <c r="I330" s="2">
        <v>25</v>
      </c>
      <c r="J330" s="6" t="str">
        <f>_xlfn.IFNA(VLOOKUP(C330,merchants!$A$1:$D$41,2,0),"Merchant not found")</f>
        <v>Merchant_017</v>
      </c>
      <c r="K330" s="6" t="str">
        <f>_xlfn.IFNA(VLOOKUP(C330,merchants!$A$1:$D$41,3,0),"Merchant not found")</f>
        <v>grocery</v>
      </c>
      <c r="L330" s="6" t="str">
        <f>_xlfn.IFNA(VLOOKUP(C330,merchants!$A$1:$D$41,4,0),"Merchant not found")</f>
        <v>North</v>
      </c>
      <c r="M330" s="9">
        <f t="shared" si="11"/>
        <v>4.4849999999999994</v>
      </c>
      <c r="N330" s="6" t="str">
        <f>IF(AND(L330&lt;&gt;"East",SUMIFS(merchant_workbook_pivot_table!$D$2:$D$444,merchant_workbook_pivot_table!$C$2:$C$444,E330,merchant_workbook_pivot_table!$B$2:$B$444,J330)&gt;5000),"High-Value Merchant Day",IF(AND(L330&lt;&gt;"East",SUMIFS(merchant_workbook_pivot_table!$D$2:$D$444,merchant_workbook_pivot_table!$C$2:$C$444,E330,merchant_workbook_pivot_table!$B$2:$B$444,J330)&gt;1000),"Mid-Value Merchant Day",""))</f>
        <v/>
      </c>
    </row>
    <row r="331">
      <c r="A331" s="3" t="s">
        <v>398</v>
      </c>
      <c r="B331" s="2">
        <v>65</v>
      </c>
      <c r="C331" s="2">
        <v>20</v>
      </c>
      <c r="D331" s="8" t="s">
        <v>950</v>
      </c>
      <c r="E331" s="6" t="str">
        <f t="shared" si="10"/>
        <v>2026-01-21</v>
      </c>
      <c r="F331" s="2">
        <v>99</v>
      </c>
      <c r="G331" s="3" t="s">
        <v>78</v>
      </c>
      <c r="H331" s="3" t="s">
        <v>64</v>
      </c>
      <c r="I331" s="2">
        <v>78</v>
      </c>
      <c r="J331" s="6" t="str">
        <f>_xlfn.IFNA(VLOOKUP(C331,merchants!$A$1:$D$41,2,0),"Merchant not found")</f>
        <v>Merchant_020</v>
      </c>
      <c r="K331" s="6" t="str">
        <f>_xlfn.IFNA(VLOOKUP(C331,merchants!$A$1:$D$41,3,0),"Merchant not found")</f>
        <v>food_delivery</v>
      </c>
      <c r="L331" s="6" t="str">
        <f>_xlfn.IFNA(VLOOKUP(C331,merchants!$A$1:$D$41,4,0),"Merchant not found")</f>
        <v>East</v>
      </c>
      <c r="M331" s="9">
        <f t="shared" si="11"/>
        <v>1.98</v>
      </c>
      <c r="N331" s="6" t="str">
        <f>IF(AND(L331&lt;&gt;"East",SUMIFS(merchant_workbook_pivot_table!$D$2:$D$444,merchant_workbook_pivot_table!$C$2:$C$444,E331,merchant_workbook_pivot_table!$B$2:$B$444,J331)&gt;5000),"High-Value Merchant Day",IF(AND(L331&lt;&gt;"East",SUMIFS(merchant_workbook_pivot_table!$D$2:$D$444,merchant_workbook_pivot_table!$C$2:$C$444,E331,merchant_workbook_pivot_table!$B$2:$B$444,J331)&gt;1000),"Mid-Value Merchant Day",""))</f>
        <v/>
      </c>
    </row>
    <row r="332">
      <c r="A332" s="3" t="s">
        <v>399</v>
      </c>
      <c r="B332" s="2">
        <v>329</v>
      </c>
      <c r="C332" s="2">
        <v>11</v>
      </c>
      <c r="D332" s="8" t="s">
        <v>951</v>
      </c>
      <c r="E332" s="6" t="str">
        <f t="shared" si="10"/>
        <v>2026-01-18</v>
      </c>
      <c r="F332" s="2">
        <v>499</v>
      </c>
      <c r="G332" s="3" t="s">
        <v>66</v>
      </c>
      <c r="H332" s="3" t="s">
        <v>64</v>
      </c>
      <c r="I332" s="2">
        <v>75</v>
      </c>
      <c r="J332" s="6" t="str">
        <f>_xlfn.IFNA(VLOOKUP(C332,merchants!$A$1:$D$41,2,0),"Merchant not found")</f>
        <v>Merchant_011</v>
      </c>
      <c r="K332" s="6" t="str">
        <f>_xlfn.IFNA(VLOOKUP(C332,merchants!$A$1:$D$41,3,0),"Merchant not found")</f>
        <v>ecommerce</v>
      </c>
      <c r="L332" s="6" t="str">
        <f>_xlfn.IFNA(VLOOKUP(C332,merchants!$A$1:$D$41,4,0),"Merchant not found")</f>
        <v>North</v>
      </c>
      <c r="M332" s="9">
        <f t="shared" si="11"/>
        <v>0</v>
      </c>
      <c r="N332" s="6" t="str">
        <f>IF(AND(L332&lt;&gt;"East",SUMIFS(merchant_workbook_pivot_table!$D$2:$D$444,merchant_workbook_pivot_table!$C$2:$C$444,E332,merchant_workbook_pivot_table!$B$2:$B$444,J332)&gt;5000),"High-Value Merchant Day",IF(AND(L332&lt;&gt;"East",SUMIFS(merchant_workbook_pivot_table!$D$2:$D$444,merchant_workbook_pivot_table!$C$2:$C$444,E332,merchant_workbook_pivot_table!$B$2:$B$444,J332)&gt;1000),"Mid-Value Merchant Day",""))</f>
        <v/>
      </c>
    </row>
    <row r="333">
      <c r="A333" s="3" t="s">
        <v>400</v>
      </c>
      <c r="B333" s="2">
        <v>338</v>
      </c>
      <c r="C333" s="2">
        <v>40</v>
      </c>
      <c r="D333" s="8" t="s">
        <v>952</v>
      </c>
      <c r="E333" s="6" t="str">
        <f t="shared" si="10"/>
        <v>2026-01-19</v>
      </c>
      <c r="F333" s="2">
        <v>149</v>
      </c>
      <c r="G333" s="3" t="s">
        <v>66</v>
      </c>
      <c r="H333" s="3" t="s">
        <v>64</v>
      </c>
      <c r="I333" s="2">
        <v>92</v>
      </c>
      <c r="J333" s="6" t="str">
        <f>_xlfn.IFNA(VLOOKUP(C333,merchants!$A$1:$D$41,2,0),"Merchant not found")</f>
        <v>Merchant_040</v>
      </c>
      <c r="K333" s="6" t="str">
        <f>_xlfn.IFNA(VLOOKUP(C333,merchants!$A$1:$D$41,3,0),"Merchant not found")</f>
        <v>entertainment</v>
      </c>
      <c r="L333" s="6" t="str">
        <f>_xlfn.IFNA(VLOOKUP(C333,merchants!$A$1:$D$41,4,0),"Merchant not found")</f>
        <v>South</v>
      </c>
      <c r="M333" s="9">
        <f t="shared" si="11"/>
        <v>0</v>
      </c>
      <c r="N333" s="6" t="str">
        <f>IF(AND(L333&lt;&gt;"East",SUMIFS(merchant_workbook_pivot_table!$D$2:$D$444,merchant_workbook_pivot_table!$C$2:$C$444,E333,merchant_workbook_pivot_table!$B$2:$B$444,J333)&gt;5000),"High-Value Merchant Day",IF(AND(L333&lt;&gt;"East",SUMIFS(merchant_workbook_pivot_table!$D$2:$D$444,merchant_workbook_pivot_table!$C$2:$C$444,E333,merchant_workbook_pivot_table!$B$2:$B$444,J333)&gt;1000),"Mid-Value Merchant Day",""))</f>
        <v/>
      </c>
    </row>
    <row r="334">
      <c r="A334" s="3" t="s">
        <v>401</v>
      </c>
      <c r="B334" s="2">
        <v>289</v>
      </c>
      <c r="C334" s="2">
        <v>3</v>
      </c>
      <c r="D334" s="8" t="s">
        <v>953</v>
      </c>
      <c r="E334" s="6" t="str">
        <f t="shared" si="10"/>
        <v>2026-01-29</v>
      </c>
      <c r="F334" s="2">
        <v>49</v>
      </c>
      <c r="G334" s="3" t="s">
        <v>69</v>
      </c>
      <c r="H334" s="3" t="s">
        <v>64</v>
      </c>
      <c r="I334" s="2">
        <v>3</v>
      </c>
      <c r="J334" s="6" t="str">
        <f>_xlfn.IFNA(VLOOKUP(C334,merchants!$A$1:$D$41,2,0),"Merchant not found")</f>
        <v>Merchant_003</v>
      </c>
      <c r="K334" s="6" t="str">
        <f>_xlfn.IFNA(VLOOKUP(C334,merchants!$A$1:$D$41,3,0),"Merchant not found")</f>
        <v>grocery</v>
      </c>
      <c r="L334" s="6" t="str">
        <f>_xlfn.IFNA(VLOOKUP(C334,merchants!$A$1:$D$41,4,0),"Merchant not found")</f>
        <v>East</v>
      </c>
      <c r="M334" s="9">
        <f t="shared" si="11"/>
        <v>0.48999999999999999</v>
      </c>
      <c r="N334" s="6" t="str">
        <f>IF(AND(L334&lt;&gt;"East",SUMIFS(merchant_workbook_pivot_table!$D$2:$D$444,merchant_workbook_pivot_table!$C$2:$C$444,E334,merchant_workbook_pivot_table!$B$2:$B$444,J334)&gt;5000),"High-Value Merchant Day",IF(AND(L334&lt;&gt;"East",SUMIFS(merchant_workbook_pivot_table!$D$2:$D$444,merchant_workbook_pivot_table!$C$2:$C$444,E334,merchant_workbook_pivot_table!$B$2:$B$444,J334)&gt;1000),"Mid-Value Merchant Day",""))</f>
        <v/>
      </c>
    </row>
    <row r="335">
      <c r="A335" s="3" t="s">
        <v>402</v>
      </c>
      <c r="B335" s="2">
        <v>296</v>
      </c>
      <c r="C335" s="2">
        <v>17</v>
      </c>
      <c r="D335" s="8" t="s">
        <v>954</v>
      </c>
      <c r="E335" s="6" t="str">
        <f t="shared" si="10"/>
        <v>2026-01-03</v>
      </c>
      <c r="F335" s="2">
        <v>99</v>
      </c>
      <c r="G335" s="3" t="s">
        <v>66</v>
      </c>
      <c r="H335" s="3" t="s">
        <v>64</v>
      </c>
      <c r="I335" s="2">
        <v>83</v>
      </c>
      <c r="J335" s="6" t="str">
        <f>_xlfn.IFNA(VLOOKUP(C335,merchants!$A$1:$D$41,2,0),"Merchant not found")</f>
        <v>Merchant_017</v>
      </c>
      <c r="K335" s="6" t="str">
        <f>_xlfn.IFNA(VLOOKUP(C335,merchants!$A$1:$D$41,3,0),"Merchant not found")</f>
        <v>grocery</v>
      </c>
      <c r="L335" s="6" t="str">
        <f>_xlfn.IFNA(VLOOKUP(C335,merchants!$A$1:$D$41,4,0),"Merchant not found")</f>
        <v>North</v>
      </c>
      <c r="M335" s="9">
        <f t="shared" si="11"/>
        <v>0</v>
      </c>
      <c r="N335" s="6" t="str">
        <f>IF(AND(L335&lt;&gt;"East",SUMIFS(merchant_workbook_pivot_table!$D$2:$D$444,merchant_workbook_pivot_table!$C$2:$C$444,E335,merchant_workbook_pivot_table!$B$2:$B$444,J335)&gt;5000),"High-Value Merchant Day",IF(AND(L335&lt;&gt;"East",SUMIFS(merchant_workbook_pivot_table!$D$2:$D$444,merchant_workbook_pivot_table!$C$2:$C$444,E335,merchant_workbook_pivot_table!$B$2:$B$444,J335)&gt;1000),"Mid-Value Merchant Day",""))</f>
        <v/>
      </c>
    </row>
    <row r="336">
      <c r="A336" s="3" t="s">
        <v>403</v>
      </c>
      <c r="B336" s="2">
        <v>317</v>
      </c>
      <c r="C336" s="2">
        <v>2</v>
      </c>
      <c r="D336" s="8" t="s">
        <v>955</v>
      </c>
      <c r="E336" s="6" t="str">
        <f t="shared" si="10"/>
        <v>2026-01-07</v>
      </c>
      <c r="F336" s="2">
        <v>499</v>
      </c>
      <c r="G336" s="3" t="s">
        <v>78</v>
      </c>
      <c r="H336" s="3" t="s">
        <v>64</v>
      </c>
      <c r="I336" s="2">
        <v>63</v>
      </c>
      <c r="J336" s="6" t="str">
        <f>_xlfn.IFNA(VLOOKUP(C336,merchants!$A$1:$D$41,2,0),"Merchant not found")</f>
        <v>Merchant_002</v>
      </c>
      <c r="K336" s="6" t="str">
        <f>_xlfn.IFNA(VLOOKUP(C336,merchants!$A$1:$D$41,3,0),"Merchant not found")</f>
        <v>grocery</v>
      </c>
      <c r="L336" s="6" t="str">
        <f>_xlfn.IFNA(VLOOKUP(C336,merchants!$A$1:$D$41,4,0),"Merchant not found")</f>
        <v>West</v>
      </c>
      <c r="M336" s="9">
        <f t="shared" si="11"/>
        <v>9.9800000000000004</v>
      </c>
      <c r="N336" s="6" t="str">
        <f>IF(AND(L336&lt;&gt;"East",SUMIFS(merchant_workbook_pivot_table!$D$2:$D$444,merchant_workbook_pivot_table!$C$2:$C$444,E336,merchant_workbook_pivot_table!$B$2:$B$444,J336)&gt;5000),"High-Value Merchant Day",IF(AND(L336&lt;&gt;"East",SUMIFS(merchant_workbook_pivot_table!$D$2:$D$444,merchant_workbook_pivot_table!$C$2:$C$444,E336,merchant_workbook_pivot_table!$B$2:$B$444,J336)&gt;1000),"Mid-Value Merchant Day",""))</f>
        <v/>
      </c>
    </row>
    <row r="337">
      <c r="A337" s="3" t="s">
        <v>404</v>
      </c>
      <c r="B337" s="2">
        <v>149</v>
      </c>
      <c r="C337" s="2">
        <v>20</v>
      </c>
      <c r="D337" s="8" t="s">
        <v>956</v>
      </c>
      <c r="E337" s="6" t="str">
        <f t="shared" si="10"/>
        <v>2026-01-29</v>
      </c>
      <c r="F337" s="2">
        <v>499</v>
      </c>
      <c r="G337" s="3" t="s">
        <v>78</v>
      </c>
      <c r="H337" s="3" t="s">
        <v>64</v>
      </c>
      <c r="I337" s="2">
        <v>61</v>
      </c>
      <c r="J337" s="6" t="str">
        <f>_xlfn.IFNA(VLOOKUP(C337,merchants!$A$1:$D$41,2,0),"Merchant not found")</f>
        <v>Merchant_020</v>
      </c>
      <c r="K337" s="6" t="str">
        <f>_xlfn.IFNA(VLOOKUP(C337,merchants!$A$1:$D$41,3,0),"Merchant not found")</f>
        <v>food_delivery</v>
      </c>
      <c r="L337" s="6" t="str">
        <f>_xlfn.IFNA(VLOOKUP(C337,merchants!$A$1:$D$41,4,0),"Merchant not found")</f>
        <v>East</v>
      </c>
      <c r="M337" s="9">
        <f t="shared" si="11"/>
        <v>9.9800000000000004</v>
      </c>
      <c r="N337" s="6" t="str">
        <f>IF(AND(L337&lt;&gt;"East",SUMIFS(merchant_workbook_pivot_table!$D$2:$D$444,merchant_workbook_pivot_table!$C$2:$C$444,E337,merchant_workbook_pivot_table!$B$2:$B$444,J337)&gt;5000),"High-Value Merchant Day",IF(AND(L337&lt;&gt;"East",SUMIFS(merchant_workbook_pivot_table!$D$2:$D$444,merchant_workbook_pivot_table!$C$2:$C$444,E337,merchant_workbook_pivot_table!$B$2:$B$444,J337)&gt;1000),"Mid-Value Merchant Day",""))</f>
        <v/>
      </c>
    </row>
    <row r="338">
      <c r="A338" s="3" t="s">
        <v>405</v>
      </c>
      <c r="B338" s="2">
        <v>153</v>
      </c>
      <c r="C338" s="2">
        <v>30</v>
      </c>
      <c r="D338" s="8" t="s">
        <v>957</v>
      </c>
      <c r="E338" s="6" t="str">
        <f t="shared" si="10"/>
        <v>2026-01-08</v>
      </c>
      <c r="F338" s="2">
        <v>299</v>
      </c>
      <c r="G338" s="3" t="s">
        <v>66</v>
      </c>
      <c r="H338" s="3" t="s">
        <v>64</v>
      </c>
      <c r="I338" s="2">
        <v>9</v>
      </c>
      <c r="J338" s="6" t="str">
        <f>_xlfn.IFNA(VLOOKUP(C338,merchants!$A$1:$D$41,2,0),"Merchant not found")</f>
        <v>Merchant_030</v>
      </c>
      <c r="K338" s="6" t="str">
        <f>_xlfn.IFNA(VLOOKUP(C338,merchants!$A$1:$D$41,3,0),"Merchant not found")</f>
        <v>travel</v>
      </c>
      <c r="L338" s="6" t="str">
        <f>_xlfn.IFNA(VLOOKUP(C338,merchants!$A$1:$D$41,4,0),"Merchant not found")</f>
        <v>West</v>
      </c>
      <c r="M338" s="9">
        <f t="shared" si="11"/>
        <v>0</v>
      </c>
      <c r="N338" s="6" t="str">
        <f>IF(AND(L338&lt;&gt;"East",SUMIFS(merchant_workbook_pivot_table!$D$2:$D$444,merchant_workbook_pivot_table!$C$2:$C$444,E338,merchant_workbook_pivot_table!$B$2:$B$444,J338)&gt;5000),"High-Value Merchant Day",IF(AND(L338&lt;&gt;"East",SUMIFS(merchant_workbook_pivot_table!$D$2:$D$444,merchant_workbook_pivot_table!$C$2:$C$444,E338,merchant_workbook_pivot_table!$B$2:$B$444,J338)&gt;1000),"Mid-Value Merchant Day",""))</f>
        <v xml:space="preserve">Mid-Value Merchant Day</v>
      </c>
    </row>
    <row r="339">
      <c r="A339" s="3" t="s">
        <v>406</v>
      </c>
      <c r="B339" s="2">
        <v>226</v>
      </c>
      <c r="C339" s="2">
        <v>27</v>
      </c>
      <c r="D339" s="8" t="s">
        <v>958</v>
      </c>
      <c r="E339" s="6" t="str">
        <f t="shared" si="10"/>
        <v>2026-01-23</v>
      </c>
      <c r="F339" s="2">
        <v>2999</v>
      </c>
      <c r="G339" s="3" t="s">
        <v>66</v>
      </c>
      <c r="H339" s="3" t="s">
        <v>92</v>
      </c>
      <c r="I339" s="2">
        <v>61</v>
      </c>
      <c r="J339" s="6" t="str">
        <f>_xlfn.IFNA(VLOOKUP(C339,merchants!$A$1:$D$41,2,0),"Merchant not found")</f>
        <v>Merchant_027</v>
      </c>
      <c r="K339" s="6" t="str">
        <f>_xlfn.IFNA(VLOOKUP(C339,merchants!$A$1:$D$41,3,0),"Merchant not found")</f>
        <v>ecommerce</v>
      </c>
      <c r="L339" s="6" t="str">
        <f>_xlfn.IFNA(VLOOKUP(C339,merchants!$A$1:$D$41,4,0),"Merchant not found")</f>
        <v>North</v>
      </c>
      <c r="M339" s="9">
        <f t="shared" si="11"/>
        <v>0</v>
      </c>
      <c r="N339" s="6" t="str">
        <f>IF(AND(L339&lt;&gt;"East",SUMIFS(merchant_workbook_pivot_table!$D$2:$D$444,merchant_workbook_pivot_table!$C$2:$C$444,E339,merchant_workbook_pivot_table!$B$2:$B$444,J339)&gt;5000),"High-Value Merchant Day",IF(AND(L339&lt;&gt;"East",SUMIFS(merchant_workbook_pivot_table!$D$2:$D$444,merchant_workbook_pivot_table!$C$2:$C$444,E339,merchant_workbook_pivot_table!$B$2:$B$444,J339)&gt;1000),"Mid-Value Merchant Day",""))</f>
        <v xml:space="preserve">Mid-Value Merchant Day</v>
      </c>
    </row>
    <row r="340">
      <c r="A340" s="3" t="s">
        <v>407</v>
      </c>
      <c r="B340" s="2">
        <v>311</v>
      </c>
      <c r="C340" s="2">
        <v>10</v>
      </c>
      <c r="D340" s="8" t="s">
        <v>959</v>
      </c>
      <c r="E340" s="6" t="str">
        <f t="shared" si="10"/>
        <v>2026-01-15</v>
      </c>
      <c r="F340" s="2">
        <v>2999</v>
      </c>
      <c r="G340" s="3" t="s">
        <v>66</v>
      </c>
      <c r="H340" s="3" t="s">
        <v>64</v>
      </c>
      <c r="I340" s="2">
        <v>40</v>
      </c>
      <c r="J340" s="6" t="str">
        <f>_xlfn.IFNA(VLOOKUP(C340,merchants!$A$1:$D$41,2,0),"Merchant not found")</f>
        <v>Merchant_010</v>
      </c>
      <c r="K340" s="6" t="str">
        <f>_xlfn.IFNA(VLOOKUP(C340,merchants!$A$1:$D$41,3,0),"Merchant not found")</f>
        <v>grocery</v>
      </c>
      <c r="L340" s="6" t="str">
        <f>_xlfn.IFNA(VLOOKUP(C340,merchants!$A$1:$D$41,4,0),"Merchant not found")</f>
        <v>West</v>
      </c>
      <c r="M340" s="9">
        <f t="shared" si="11"/>
        <v>0</v>
      </c>
      <c r="N340" s="6" t="str">
        <f>IF(AND(L340&lt;&gt;"East",SUMIFS(merchant_workbook_pivot_table!$D$2:$D$444,merchant_workbook_pivot_table!$C$2:$C$444,E340,merchant_workbook_pivot_table!$B$2:$B$444,J340)&gt;5000),"High-Value Merchant Day",IF(AND(L340&lt;&gt;"East",SUMIFS(merchant_workbook_pivot_table!$D$2:$D$444,merchant_workbook_pivot_table!$C$2:$C$444,E340,merchant_workbook_pivot_table!$B$2:$B$444,J340)&gt;1000),"Mid-Value Merchant Day",""))</f>
        <v xml:space="preserve">Mid-Value Merchant Day</v>
      </c>
    </row>
    <row r="341">
      <c r="A341" s="3" t="s">
        <v>408</v>
      </c>
      <c r="B341" s="2">
        <v>177</v>
      </c>
      <c r="C341" s="2">
        <v>26</v>
      </c>
      <c r="D341" s="8" t="s">
        <v>960</v>
      </c>
      <c r="E341" s="6" t="str">
        <f t="shared" si="10"/>
        <v>2026-01-28</v>
      </c>
      <c r="F341" s="2">
        <v>1499</v>
      </c>
      <c r="G341" s="3" t="s">
        <v>66</v>
      </c>
      <c r="H341" s="3" t="s">
        <v>64</v>
      </c>
      <c r="I341" s="2">
        <v>16</v>
      </c>
      <c r="J341" s="6" t="str">
        <f>_xlfn.IFNA(VLOOKUP(C341,merchants!$A$1:$D$41,2,0),"Merchant not found")</f>
        <v>Merchant_026</v>
      </c>
      <c r="K341" s="6" t="str">
        <f>_xlfn.IFNA(VLOOKUP(C341,merchants!$A$1:$D$41,3,0),"Merchant not found")</f>
        <v>food_delivery</v>
      </c>
      <c r="L341" s="6" t="str">
        <f>_xlfn.IFNA(VLOOKUP(C341,merchants!$A$1:$D$41,4,0),"Merchant not found")</f>
        <v>East</v>
      </c>
      <c r="M341" s="9">
        <f t="shared" si="11"/>
        <v>0</v>
      </c>
      <c r="N341" s="6" t="str">
        <f>IF(AND(L341&lt;&gt;"East",SUMIFS(merchant_workbook_pivot_table!$D$2:$D$444,merchant_workbook_pivot_table!$C$2:$C$444,E341,merchant_workbook_pivot_table!$B$2:$B$444,J341)&gt;5000),"High-Value Merchant Day",IF(AND(L341&lt;&gt;"East",SUMIFS(merchant_workbook_pivot_table!$D$2:$D$444,merchant_workbook_pivot_table!$C$2:$C$444,E341,merchant_workbook_pivot_table!$B$2:$B$444,J341)&gt;1000),"Mid-Value Merchant Day",""))</f>
        <v/>
      </c>
    </row>
    <row r="342">
      <c r="A342" s="3" t="s">
        <v>409</v>
      </c>
      <c r="B342" s="2">
        <v>288</v>
      </c>
      <c r="C342" s="2">
        <v>7</v>
      </c>
      <c r="D342" s="8" t="s">
        <v>961</v>
      </c>
      <c r="E342" s="6" t="str">
        <f t="shared" si="10"/>
        <v>2026-01-25</v>
      </c>
      <c r="F342" s="2">
        <v>99</v>
      </c>
      <c r="G342" s="3" t="s">
        <v>69</v>
      </c>
      <c r="H342" s="3" t="s">
        <v>64</v>
      </c>
      <c r="I342" s="2">
        <v>40</v>
      </c>
      <c r="J342" s="6" t="str">
        <f>_xlfn.IFNA(VLOOKUP(C342,merchants!$A$1:$D$41,2,0),"Merchant not found")</f>
        <v>Merchant_007</v>
      </c>
      <c r="K342" s="6" t="str">
        <f>_xlfn.IFNA(VLOOKUP(C342,merchants!$A$1:$D$41,3,0),"Merchant not found")</f>
        <v>food_delivery</v>
      </c>
      <c r="L342" s="6" t="str">
        <f>_xlfn.IFNA(VLOOKUP(C342,merchants!$A$1:$D$41,4,0),"Merchant not found")</f>
        <v>East</v>
      </c>
      <c r="M342" s="9">
        <f t="shared" si="11"/>
        <v>0.98999999999999999</v>
      </c>
      <c r="N342" s="6" t="str">
        <f>IF(AND(L342&lt;&gt;"East",SUMIFS(merchant_workbook_pivot_table!$D$2:$D$444,merchant_workbook_pivot_table!$C$2:$C$444,E342,merchant_workbook_pivot_table!$B$2:$B$444,J342)&gt;5000),"High-Value Merchant Day",IF(AND(L342&lt;&gt;"East",SUMIFS(merchant_workbook_pivot_table!$D$2:$D$444,merchant_workbook_pivot_table!$C$2:$C$444,E342,merchant_workbook_pivot_table!$B$2:$B$444,J342)&gt;1000),"Mid-Value Merchant Day",""))</f>
        <v/>
      </c>
    </row>
    <row r="343">
      <c r="A343" s="3" t="s">
        <v>410</v>
      </c>
      <c r="B343" s="2">
        <v>137</v>
      </c>
      <c r="C343" s="2">
        <v>29</v>
      </c>
      <c r="D343" s="8" t="s">
        <v>962</v>
      </c>
      <c r="E343" s="6" t="str">
        <f t="shared" si="10"/>
        <v>2026-01-08</v>
      </c>
      <c r="F343" s="2">
        <v>2999</v>
      </c>
      <c r="G343" s="3" t="s">
        <v>66</v>
      </c>
      <c r="H343" s="3" t="s">
        <v>79</v>
      </c>
      <c r="I343" s="2">
        <v>31</v>
      </c>
      <c r="J343" s="6" t="str">
        <f>_xlfn.IFNA(VLOOKUP(C343,merchants!$A$1:$D$41,2,0),"Merchant not found")</f>
        <v>Merchant_029</v>
      </c>
      <c r="K343" s="6" t="str">
        <f>_xlfn.IFNA(VLOOKUP(C343,merchants!$A$1:$D$41,3,0),"Merchant not found")</f>
        <v>ecommerce</v>
      </c>
      <c r="L343" s="6" t="str">
        <f>_xlfn.IFNA(VLOOKUP(C343,merchants!$A$1:$D$41,4,0),"Merchant not found")</f>
        <v>North</v>
      </c>
      <c r="M343" s="9">
        <f t="shared" si="11"/>
        <v>0</v>
      </c>
      <c r="N343" s="6" t="str">
        <f>IF(AND(L343&lt;&gt;"East",SUMIFS(merchant_workbook_pivot_table!$D$2:$D$444,merchant_workbook_pivot_table!$C$2:$C$444,E343,merchant_workbook_pivot_table!$B$2:$B$444,J343)&gt;5000),"High-Value Merchant Day",IF(AND(L343&lt;&gt;"East",SUMIFS(merchant_workbook_pivot_table!$D$2:$D$444,merchant_workbook_pivot_table!$C$2:$C$444,E343,merchant_workbook_pivot_table!$B$2:$B$444,J343)&gt;1000),"Mid-Value Merchant Day",""))</f>
        <v xml:space="preserve">Mid-Value Merchant Day</v>
      </c>
    </row>
    <row r="344">
      <c r="A344" s="3" t="s">
        <v>411</v>
      </c>
      <c r="B344" s="2">
        <v>149</v>
      </c>
      <c r="C344" s="2">
        <v>25</v>
      </c>
      <c r="D344" s="8" t="s">
        <v>963</v>
      </c>
      <c r="E344" s="6" t="str">
        <f t="shared" si="10"/>
        <v>2026-01-05</v>
      </c>
      <c r="F344" s="2">
        <v>1499</v>
      </c>
      <c r="G344" s="3" t="s">
        <v>66</v>
      </c>
      <c r="H344" s="3" t="s">
        <v>64</v>
      </c>
      <c r="I344" s="2">
        <v>78</v>
      </c>
      <c r="J344" s="6" t="str">
        <f>_xlfn.IFNA(VLOOKUP(C344,merchants!$A$1:$D$41,2,0),"Merchant not found")</f>
        <v>Merchant_025</v>
      </c>
      <c r="K344" s="6" t="str">
        <f>_xlfn.IFNA(VLOOKUP(C344,merchants!$A$1:$D$41,3,0),"Merchant not found")</f>
        <v>travel</v>
      </c>
      <c r="L344" s="6" t="str">
        <f>_xlfn.IFNA(VLOOKUP(C344,merchants!$A$1:$D$41,4,0),"Merchant not found")</f>
        <v>South</v>
      </c>
      <c r="M344" s="9">
        <f t="shared" si="11"/>
        <v>0</v>
      </c>
      <c r="N344" s="6" t="str">
        <f>IF(AND(L344&lt;&gt;"East",SUMIFS(merchant_workbook_pivot_table!$D$2:$D$444,merchant_workbook_pivot_table!$C$2:$C$444,E344,merchant_workbook_pivot_table!$B$2:$B$444,J344)&gt;5000),"High-Value Merchant Day",IF(AND(L344&lt;&gt;"East",SUMIFS(merchant_workbook_pivot_table!$D$2:$D$444,merchant_workbook_pivot_table!$C$2:$C$444,E344,merchant_workbook_pivot_table!$B$2:$B$444,J344)&gt;1000),"Mid-Value Merchant Day",""))</f>
        <v xml:space="preserve">Mid-Value Merchant Day</v>
      </c>
    </row>
    <row r="345">
      <c r="A345" s="3" t="s">
        <v>412</v>
      </c>
      <c r="B345" s="2">
        <v>82</v>
      </c>
      <c r="C345" s="2">
        <v>21</v>
      </c>
      <c r="D345" s="8" t="s">
        <v>964</v>
      </c>
      <c r="E345" s="6" t="str">
        <f t="shared" si="10"/>
        <v>2026-01-14</v>
      </c>
      <c r="F345" s="2">
        <v>49</v>
      </c>
      <c r="G345" s="3" t="s">
        <v>63</v>
      </c>
      <c r="H345" s="3" t="s">
        <v>64</v>
      </c>
      <c r="I345" s="2">
        <v>73</v>
      </c>
      <c r="J345" s="6" t="str">
        <f>_xlfn.IFNA(VLOOKUP(C345,merchants!$A$1:$D$41,2,0),"Merchant not found")</f>
        <v>Merchant_021</v>
      </c>
      <c r="K345" s="6" t="str">
        <f>_xlfn.IFNA(VLOOKUP(C345,merchants!$A$1:$D$41,3,0),"Merchant not found")</f>
        <v>food_delivery</v>
      </c>
      <c r="L345" s="6" t="str">
        <f>_xlfn.IFNA(VLOOKUP(C345,merchants!$A$1:$D$41,4,0),"Merchant not found")</f>
        <v>East</v>
      </c>
      <c r="M345" s="9">
        <f t="shared" si="11"/>
        <v>0.73499999999999999</v>
      </c>
      <c r="N345" s="6" t="str">
        <f>IF(AND(L345&lt;&gt;"East",SUMIFS(merchant_workbook_pivot_table!$D$2:$D$444,merchant_workbook_pivot_table!$C$2:$C$444,E345,merchant_workbook_pivot_table!$B$2:$B$444,J345)&gt;5000),"High-Value Merchant Day",IF(AND(L345&lt;&gt;"East",SUMIFS(merchant_workbook_pivot_table!$D$2:$D$444,merchant_workbook_pivot_table!$C$2:$C$444,E345,merchant_workbook_pivot_table!$B$2:$B$444,J345)&gt;1000),"Mid-Value Merchant Day",""))</f>
        <v/>
      </c>
    </row>
    <row r="346">
      <c r="A346" s="3" t="s">
        <v>413</v>
      </c>
      <c r="B346" s="2">
        <v>82</v>
      </c>
      <c r="C346" s="2">
        <v>32</v>
      </c>
      <c r="D346" s="8" t="s">
        <v>965</v>
      </c>
      <c r="E346" s="6" t="str">
        <f t="shared" si="10"/>
        <v>2026-01-24</v>
      </c>
      <c r="F346" s="2">
        <v>49</v>
      </c>
      <c r="G346" s="3" t="s">
        <v>66</v>
      </c>
      <c r="H346" s="3" t="s">
        <v>64</v>
      </c>
      <c r="I346" s="2">
        <v>65</v>
      </c>
      <c r="J346" s="6" t="str">
        <f>_xlfn.IFNA(VLOOKUP(C346,merchants!$A$1:$D$41,2,0),"Merchant not found")</f>
        <v>Merchant_032</v>
      </c>
      <c r="K346" s="6" t="str">
        <f>_xlfn.IFNA(VLOOKUP(C346,merchants!$A$1:$D$41,3,0),"Merchant not found")</f>
        <v>food_delivery</v>
      </c>
      <c r="L346" s="6" t="str">
        <f>_xlfn.IFNA(VLOOKUP(C346,merchants!$A$1:$D$41,4,0),"Merchant not found")</f>
        <v>West</v>
      </c>
      <c r="M346" s="9">
        <f t="shared" si="11"/>
        <v>0</v>
      </c>
      <c r="N346" s="6" t="str">
        <f>IF(AND(L346&lt;&gt;"East",SUMIFS(merchant_workbook_pivot_table!$D$2:$D$444,merchant_workbook_pivot_table!$C$2:$C$444,E346,merchant_workbook_pivot_table!$B$2:$B$444,J346)&gt;5000),"High-Value Merchant Day",IF(AND(L346&lt;&gt;"East",SUMIFS(merchant_workbook_pivot_table!$D$2:$D$444,merchant_workbook_pivot_table!$C$2:$C$444,E346,merchant_workbook_pivot_table!$B$2:$B$444,J346)&gt;1000),"Mid-Value Merchant Day",""))</f>
        <v/>
      </c>
    </row>
    <row r="347">
      <c r="A347" s="3" t="s">
        <v>414</v>
      </c>
      <c r="B347" s="2">
        <v>158</v>
      </c>
      <c r="C347" s="2">
        <v>32</v>
      </c>
      <c r="D347" s="8" t="s">
        <v>966</v>
      </c>
      <c r="E347" s="6" t="str">
        <f t="shared" si="10"/>
        <v>2026-01-15</v>
      </c>
      <c r="F347" s="2">
        <v>99</v>
      </c>
      <c r="G347" s="3" t="s">
        <v>63</v>
      </c>
      <c r="H347" s="3" t="s">
        <v>64</v>
      </c>
      <c r="I347" s="2">
        <v>2</v>
      </c>
      <c r="J347" s="6" t="str">
        <f>_xlfn.IFNA(VLOOKUP(C347,merchants!$A$1:$D$41,2,0),"Merchant not found")</f>
        <v>Merchant_032</v>
      </c>
      <c r="K347" s="6" t="str">
        <f>_xlfn.IFNA(VLOOKUP(C347,merchants!$A$1:$D$41,3,0),"Merchant not found")</f>
        <v>food_delivery</v>
      </c>
      <c r="L347" s="6" t="str">
        <f>_xlfn.IFNA(VLOOKUP(C347,merchants!$A$1:$D$41,4,0),"Merchant not found")</f>
        <v>West</v>
      </c>
      <c r="M347" s="9">
        <f t="shared" si="11"/>
        <v>1.4849999999999999</v>
      </c>
      <c r="N347" s="6" t="str">
        <f>IF(AND(L347&lt;&gt;"East",SUMIFS(merchant_workbook_pivot_table!$D$2:$D$444,merchant_workbook_pivot_table!$C$2:$C$444,E347,merchant_workbook_pivot_table!$B$2:$B$444,J347)&gt;5000),"High-Value Merchant Day",IF(AND(L347&lt;&gt;"East",SUMIFS(merchant_workbook_pivot_table!$D$2:$D$444,merchant_workbook_pivot_table!$C$2:$C$444,E347,merchant_workbook_pivot_table!$B$2:$B$444,J347)&gt;1000),"Mid-Value Merchant Day",""))</f>
        <v/>
      </c>
    </row>
    <row r="348">
      <c r="A348" s="3" t="s">
        <v>415</v>
      </c>
      <c r="B348" s="2">
        <v>235</v>
      </c>
      <c r="C348" s="2">
        <v>16</v>
      </c>
      <c r="D348" s="8" t="s">
        <v>967</v>
      </c>
      <c r="E348" s="6" t="str">
        <f t="shared" si="10"/>
        <v>2026-01-03</v>
      </c>
      <c r="F348" s="2">
        <v>99</v>
      </c>
      <c r="G348" s="3" t="s">
        <v>66</v>
      </c>
      <c r="H348" s="3" t="s">
        <v>64</v>
      </c>
      <c r="I348" s="2">
        <v>27</v>
      </c>
      <c r="J348" s="6" t="str">
        <f>_xlfn.IFNA(VLOOKUP(C348,merchants!$A$1:$D$41,2,0),"Merchant not found")</f>
        <v>Merchant_016</v>
      </c>
      <c r="K348" s="6" t="str">
        <f>_xlfn.IFNA(VLOOKUP(C348,merchants!$A$1:$D$41,3,0),"Merchant not found")</f>
        <v>bill_payment</v>
      </c>
      <c r="L348" s="6" t="str">
        <f>_xlfn.IFNA(VLOOKUP(C348,merchants!$A$1:$D$41,4,0),"Merchant not found")</f>
        <v>West</v>
      </c>
      <c r="M348" s="9">
        <f t="shared" si="11"/>
        <v>0</v>
      </c>
      <c r="N348" s="6" t="str">
        <f>IF(AND(L348&lt;&gt;"East",SUMIFS(merchant_workbook_pivot_table!$D$2:$D$444,merchant_workbook_pivot_table!$C$2:$C$444,E348,merchant_workbook_pivot_table!$B$2:$B$444,J348)&gt;5000),"High-Value Merchant Day",IF(AND(L348&lt;&gt;"East",SUMIFS(merchant_workbook_pivot_table!$D$2:$D$444,merchant_workbook_pivot_table!$C$2:$C$444,E348,merchant_workbook_pivot_table!$B$2:$B$444,J348)&gt;1000),"Mid-Value Merchant Day",""))</f>
        <v/>
      </c>
    </row>
    <row r="349">
      <c r="A349" s="3" t="s">
        <v>416</v>
      </c>
      <c r="B349" s="2">
        <v>26</v>
      </c>
      <c r="C349" s="2">
        <v>19</v>
      </c>
      <c r="D349" s="8" t="s">
        <v>968</v>
      </c>
      <c r="E349" s="6" t="str">
        <f t="shared" si="10"/>
        <v>2026-01-19</v>
      </c>
      <c r="F349" s="2">
        <v>99</v>
      </c>
      <c r="G349" s="3" t="s">
        <v>63</v>
      </c>
      <c r="H349" s="3" t="s">
        <v>64</v>
      </c>
      <c r="I349" s="2">
        <v>63</v>
      </c>
      <c r="J349" s="6" t="str">
        <f>_xlfn.IFNA(VLOOKUP(C349,merchants!$A$1:$D$41,2,0),"Merchant not found")</f>
        <v>Merchant_019</v>
      </c>
      <c r="K349" s="6" t="str">
        <f>_xlfn.IFNA(VLOOKUP(C349,merchants!$A$1:$D$41,3,0),"Merchant not found")</f>
        <v>grocery</v>
      </c>
      <c r="L349" s="6" t="str">
        <f>_xlfn.IFNA(VLOOKUP(C349,merchants!$A$1:$D$41,4,0),"Merchant not found")</f>
        <v>North</v>
      </c>
      <c r="M349" s="9">
        <f t="shared" si="11"/>
        <v>1.4849999999999999</v>
      </c>
      <c r="N349" s="6" t="str">
        <f>IF(AND(L349&lt;&gt;"East",SUMIFS(merchant_workbook_pivot_table!$D$2:$D$444,merchant_workbook_pivot_table!$C$2:$C$444,E349,merchant_workbook_pivot_table!$B$2:$B$444,J349)&gt;5000),"High-Value Merchant Day",IF(AND(L349&lt;&gt;"East",SUMIFS(merchant_workbook_pivot_table!$D$2:$D$444,merchant_workbook_pivot_table!$C$2:$C$444,E349,merchant_workbook_pivot_table!$B$2:$B$444,J349)&gt;1000),"Mid-Value Merchant Day",""))</f>
        <v/>
      </c>
    </row>
    <row r="350">
      <c r="A350" s="3" t="s">
        <v>417</v>
      </c>
      <c r="B350" s="2">
        <v>241</v>
      </c>
      <c r="C350" s="2">
        <v>19</v>
      </c>
      <c r="D350" s="8" t="s">
        <v>969</v>
      </c>
      <c r="E350" s="6" t="str">
        <f t="shared" si="10"/>
        <v>2026-01-20</v>
      </c>
      <c r="F350" s="2">
        <v>299</v>
      </c>
      <c r="G350" s="3" t="s">
        <v>66</v>
      </c>
      <c r="H350" s="3" t="s">
        <v>64</v>
      </c>
      <c r="I350" s="2">
        <v>68</v>
      </c>
      <c r="J350" s="6" t="str">
        <f>_xlfn.IFNA(VLOOKUP(C350,merchants!$A$1:$D$41,2,0),"Merchant not found")</f>
        <v>Merchant_019</v>
      </c>
      <c r="K350" s="6" t="str">
        <f>_xlfn.IFNA(VLOOKUP(C350,merchants!$A$1:$D$41,3,0),"Merchant not found")</f>
        <v>grocery</v>
      </c>
      <c r="L350" s="6" t="str">
        <f>_xlfn.IFNA(VLOOKUP(C350,merchants!$A$1:$D$41,4,0),"Merchant not found")</f>
        <v>North</v>
      </c>
      <c r="M350" s="9">
        <f t="shared" si="11"/>
        <v>0</v>
      </c>
      <c r="N350" s="6" t="str">
        <f>IF(AND(L350&lt;&gt;"East",SUMIFS(merchant_workbook_pivot_table!$D$2:$D$444,merchant_workbook_pivot_table!$C$2:$C$444,E350,merchant_workbook_pivot_table!$B$2:$B$444,J350)&gt;5000),"High-Value Merchant Day",IF(AND(L350&lt;&gt;"East",SUMIFS(merchant_workbook_pivot_table!$D$2:$D$444,merchant_workbook_pivot_table!$C$2:$C$444,E350,merchant_workbook_pivot_table!$B$2:$B$444,J350)&gt;1000),"Mid-Value Merchant Day",""))</f>
        <v/>
      </c>
    </row>
    <row r="351">
      <c r="A351" s="3" t="s">
        <v>418</v>
      </c>
      <c r="B351" s="2">
        <v>69</v>
      </c>
      <c r="C351" s="2">
        <v>17</v>
      </c>
      <c r="D351" s="8" t="s">
        <v>970</v>
      </c>
      <c r="E351" s="6" t="str">
        <f t="shared" si="10"/>
        <v>2026-01-01</v>
      </c>
      <c r="F351" s="2">
        <v>1499</v>
      </c>
      <c r="G351" s="3" t="s">
        <v>66</v>
      </c>
      <c r="H351" s="3" t="s">
        <v>64</v>
      </c>
      <c r="I351" s="2">
        <v>93</v>
      </c>
      <c r="J351" s="6" t="str">
        <f>_xlfn.IFNA(VLOOKUP(C351,merchants!$A$1:$D$41,2,0),"Merchant not found")</f>
        <v>Merchant_017</v>
      </c>
      <c r="K351" s="6" t="str">
        <f>_xlfn.IFNA(VLOOKUP(C351,merchants!$A$1:$D$41,3,0),"Merchant not found")</f>
        <v>grocery</v>
      </c>
      <c r="L351" s="6" t="str">
        <f>_xlfn.IFNA(VLOOKUP(C351,merchants!$A$1:$D$41,4,0),"Merchant not found")</f>
        <v>North</v>
      </c>
      <c r="M351" s="9">
        <f t="shared" si="11"/>
        <v>0</v>
      </c>
      <c r="N351" s="6" t="str">
        <f>IF(AND(L351&lt;&gt;"East",SUMIFS(merchant_workbook_pivot_table!$D$2:$D$444,merchant_workbook_pivot_table!$C$2:$C$444,E351,merchant_workbook_pivot_table!$B$2:$B$444,J351)&gt;5000),"High-Value Merchant Day",IF(AND(L351&lt;&gt;"East",SUMIFS(merchant_workbook_pivot_table!$D$2:$D$444,merchant_workbook_pivot_table!$C$2:$C$444,E351,merchant_workbook_pivot_table!$B$2:$B$444,J351)&gt;1000),"Mid-Value Merchant Day",""))</f>
        <v xml:space="preserve">Mid-Value Merchant Day</v>
      </c>
    </row>
    <row r="352">
      <c r="A352" s="3" t="s">
        <v>419</v>
      </c>
      <c r="B352" s="2">
        <v>24</v>
      </c>
      <c r="C352" s="2">
        <v>26</v>
      </c>
      <c r="D352" s="8" t="s">
        <v>971</v>
      </c>
      <c r="E352" s="6" t="str">
        <f t="shared" si="10"/>
        <v>2026-01-12</v>
      </c>
      <c r="F352" s="2">
        <v>299</v>
      </c>
      <c r="G352" s="3" t="s">
        <v>69</v>
      </c>
      <c r="H352" s="3" t="s">
        <v>64</v>
      </c>
      <c r="I352" s="2">
        <v>6</v>
      </c>
      <c r="J352" s="6" t="str">
        <f>_xlfn.IFNA(VLOOKUP(C352,merchants!$A$1:$D$41,2,0),"Merchant not found")</f>
        <v>Merchant_026</v>
      </c>
      <c r="K352" s="6" t="str">
        <f>_xlfn.IFNA(VLOOKUP(C352,merchants!$A$1:$D$41,3,0),"Merchant not found")</f>
        <v>food_delivery</v>
      </c>
      <c r="L352" s="6" t="str">
        <f>_xlfn.IFNA(VLOOKUP(C352,merchants!$A$1:$D$41,4,0),"Merchant not found")</f>
        <v>East</v>
      </c>
      <c r="M352" s="9">
        <f t="shared" si="11"/>
        <v>2.9900000000000002</v>
      </c>
      <c r="N352" s="6" t="str">
        <f>IF(AND(L352&lt;&gt;"East",SUMIFS(merchant_workbook_pivot_table!$D$2:$D$444,merchant_workbook_pivot_table!$C$2:$C$444,E352,merchant_workbook_pivot_table!$B$2:$B$444,J352)&gt;5000),"High-Value Merchant Day",IF(AND(L352&lt;&gt;"East",SUMIFS(merchant_workbook_pivot_table!$D$2:$D$444,merchant_workbook_pivot_table!$C$2:$C$444,E352,merchant_workbook_pivot_table!$B$2:$B$444,J352)&gt;1000),"Mid-Value Merchant Day",""))</f>
        <v/>
      </c>
    </row>
    <row r="353">
      <c r="A353" s="3" t="s">
        <v>420</v>
      </c>
      <c r="B353" s="2">
        <v>186</v>
      </c>
      <c r="C353" s="2">
        <v>36</v>
      </c>
      <c r="D353" s="8" t="s">
        <v>972</v>
      </c>
      <c r="E353" s="6" t="str">
        <f t="shared" si="10"/>
        <v>2026-01-19</v>
      </c>
      <c r="F353" s="2">
        <v>4999</v>
      </c>
      <c r="G353" s="3" t="s">
        <v>66</v>
      </c>
      <c r="H353" s="3" t="s">
        <v>64</v>
      </c>
      <c r="I353" s="2">
        <v>36</v>
      </c>
      <c r="J353" s="6" t="str">
        <f>_xlfn.IFNA(VLOOKUP(C353,merchants!$A$1:$D$41,2,0),"Merchant not found")</f>
        <v>Merchant_036</v>
      </c>
      <c r="K353" s="6" t="str">
        <f>_xlfn.IFNA(VLOOKUP(C353,merchants!$A$1:$D$41,3,0),"Merchant not found")</f>
        <v>entertainment</v>
      </c>
      <c r="L353" s="6" t="str">
        <f>_xlfn.IFNA(VLOOKUP(C353,merchants!$A$1:$D$41,4,0),"Merchant not found")</f>
        <v>East</v>
      </c>
      <c r="M353" s="9">
        <f t="shared" si="11"/>
        <v>0</v>
      </c>
      <c r="N353" s="6" t="str">
        <f>IF(AND(L353&lt;&gt;"East",SUMIFS(merchant_workbook_pivot_table!$D$2:$D$444,merchant_workbook_pivot_table!$C$2:$C$444,E353,merchant_workbook_pivot_table!$B$2:$B$444,J353)&gt;5000),"High-Value Merchant Day",IF(AND(L353&lt;&gt;"East",SUMIFS(merchant_workbook_pivot_table!$D$2:$D$444,merchant_workbook_pivot_table!$C$2:$C$444,E353,merchant_workbook_pivot_table!$B$2:$B$444,J353)&gt;1000),"Mid-Value Merchant Day",""))</f>
        <v/>
      </c>
    </row>
    <row r="354">
      <c r="A354" s="3" t="s">
        <v>421</v>
      </c>
      <c r="B354" s="2">
        <v>231</v>
      </c>
      <c r="C354" s="2">
        <v>36</v>
      </c>
      <c r="D354" s="8" t="s">
        <v>967</v>
      </c>
      <c r="E354" s="6" t="str">
        <f t="shared" si="10"/>
        <v>2026-01-03</v>
      </c>
      <c r="F354" s="2">
        <v>149</v>
      </c>
      <c r="G354" s="3" t="s">
        <v>66</v>
      </c>
      <c r="H354" s="3" t="s">
        <v>64</v>
      </c>
      <c r="I354" s="2">
        <v>35</v>
      </c>
      <c r="J354" s="6" t="str">
        <f>_xlfn.IFNA(VLOOKUP(C354,merchants!$A$1:$D$41,2,0),"Merchant not found")</f>
        <v>Merchant_036</v>
      </c>
      <c r="K354" s="6" t="str">
        <f>_xlfn.IFNA(VLOOKUP(C354,merchants!$A$1:$D$41,3,0),"Merchant not found")</f>
        <v>entertainment</v>
      </c>
      <c r="L354" s="6" t="str">
        <f>_xlfn.IFNA(VLOOKUP(C354,merchants!$A$1:$D$41,4,0),"Merchant not found")</f>
        <v>East</v>
      </c>
      <c r="M354" s="9">
        <f t="shared" si="11"/>
        <v>0</v>
      </c>
      <c r="N354" s="6" t="str">
        <f>IF(AND(L354&lt;&gt;"East",SUMIFS(merchant_workbook_pivot_table!$D$2:$D$444,merchant_workbook_pivot_table!$C$2:$C$444,E354,merchant_workbook_pivot_table!$B$2:$B$444,J354)&gt;5000),"High-Value Merchant Day",IF(AND(L354&lt;&gt;"East",SUMIFS(merchant_workbook_pivot_table!$D$2:$D$444,merchant_workbook_pivot_table!$C$2:$C$444,E354,merchant_workbook_pivot_table!$B$2:$B$444,J354)&gt;1000),"Mid-Value Merchant Day",""))</f>
        <v/>
      </c>
    </row>
    <row r="355">
      <c r="A355" s="3" t="s">
        <v>422</v>
      </c>
      <c r="B355" s="2">
        <v>313</v>
      </c>
      <c r="C355" s="2">
        <v>8</v>
      </c>
      <c r="D355" s="8" t="s">
        <v>973</v>
      </c>
      <c r="E355" s="6" t="str">
        <f t="shared" si="10"/>
        <v>2026-01-27</v>
      </c>
      <c r="F355" s="2">
        <v>1499</v>
      </c>
      <c r="G355" s="3" t="s">
        <v>69</v>
      </c>
      <c r="H355" s="3" t="s">
        <v>64</v>
      </c>
      <c r="I355" s="2">
        <v>16</v>
      </c>
      <c r="J355" s="6" t="str">
        <f>_xlfn.IFNA(VLOOKUP(C355,merchants!$A$1:$D$41,2,0),"Merchant not found")</f>
        <v>Merchant_008</v>
      </c>
      <c r="K355" s="6" t="str">
        <f>_xlfn.IFNA(VLOOKUP(C355,merchants!$A$1:$D$41,3,0),"Merchant not found")</f>
        <v>food_delivery</v>
      </c>
      <c r="L355" s="6" t="str">
        <f>_xlfn.IFNA(VLOOKUP(C355,merchants!$A$1:$D$41,4,0),"Merchant not found")</f>
        <v>North</v>
      </c>
      <c r="M355" s="9">
        <f t="shared" si="11"/>
        <v>14.99</v>
      </c>
      <c r="N355" s="6" t="str">
        <f>IF(AND(L355&lt;&gt;"East",SUMIFS(merchant_workbook_pivot_table!$D$2:$D$444,merchant_workbook_pivot_table!$C$2:$C$444,E355,merchant_workbook_pivot_table!$B$2:$B$444,J355)&gt;5000),"High-Value Merchant Day",IF(AND(L355&lt;&gt;"East",SUMIFS(merchant_workbook_pivot_table!$D$2:$D$444,merchant_workbook_pivot_table!$C$2:$C$444,E355,merchant_workbook_pivot_table!$B$2:$B$444,J355)&gt;1000),"Mid-Value Merchant Day",""))</f>
        <v xml:space="preserve">Mid-Value Merchant Day</v>
      </c>
    </row>
    <row r="356">
      <c r="A356" s="3" t="s">
        <v>423</v>
      </c>
      <c r="B356" s="2">
        <v>174</v>
      </c>
      <c r="C356" s="2">
        <v>36</v>
      </c>
      <c r="D356" s="8" t="s">
        <v>974</v>
      </c>
      <c r="E356" s="6" t="str">
        <f t="shared" si="10"/>
        <v>2026-01-04</v>
      </c>
      <c r="F356" s="2">
        <v>149</v>
      </c>
      <c r="G356" s="3" t="s">
        <v>66</v>
      </c>
      <c r="H356" s="3" t="s">
        <v>64</v>
      </c>
      <c r="I356" s="2">
        <v>46</v>
      </c>
      <c r="J356" s="6" t="str">
        <f>_xlfn.IFNA(VLOOKUP(C356,merchants!$A$1:$D$41,2,0),"Merchant not found")</f>
        <v>Merchant_036</v>
      </c>
      <c r="K356" s="6" t="str">
        <f>_xlfn.IFNA(VLOOKUP(C356,merchants!$A$1:$D$41,3,0),"Merchant not found")</f>
        <v>entertainment</v>
      </c>
      <c r="L356" s="6" t="str">
        <f>_xlfn.IFNA(VLOOKUP(C356,merchants!$A$1:$D$41,4,0),"Merchant not found")</f>
        <v>East</v>
      </c>
      <c r="M356" s="9">
        <f t="shared" si="11"/>
        <v>0</v>
      </c>
      <c r="N356" s="6" t="str">
        <f>IF(AND(L356&lt;&gt;"East",SUMIFS(merchant_workbook_pivot_table!$D$2:$D$444,merchant_workbook_pivot_table!$C$2:$C$444,E356,merchant_workbook_pivot_table!$B$2:$B$444,J356)&gt;5000),"High-Value Merchant Day",IF(AND(L356&lt;&gt;"East",SUMIFS(merchant_workbook_pivot_table!$D$2:$D$444,merchant_workbook_pivot_table!$C$2:$C$444,E356,merchant_workbook_pivot_table!$B$2:$B$444,J356)&gt;1000),"Mid-Value Merchant Day",""))</f>
        <v/>
      </c>
    </row>
    <row r="357">
      <c r="A357" s="3" t="s">
        <v>424</v>
      </c>
      <c r="B357" s="2">
        <v>309</v>
      </c>
      <c r="C357" s="2">
        <v>33</v>
      </c>
      <c r="D357" s="8" t="s">
        <v>975</v>
      </c>
      <c r="E357" s="6" t="str">
        <f t="shared" si="10"/>
        <v>2026-01-25</v>
      </c>
      <c r="F357" s="2">
        <v>99</v>
      </c>
      <c r="G357" s="3" t="s">
        <v>66</v>
      </c>
      <c r="H357" s="3" t="s">
        <v>64</v>
      </c>
      <c r="I357" s="2">
        <v>51</v>
      </c>
      <c r="J357" s="6" t="str">
        <f>_xlfn.IFNA(VLOOKUP(C357,merchants!$A$1:$D$41,2,0),"Merchant not found")</f>
        <v>Merchant_033</v>
      </c>
      <c r="K357" s="6" t="str">
        <f>_xlfn.IFNA(VLOOKUP(C357,merchants!$A$1:$D$41,3,0),"Merchant not found")</f>
        <v>bill_payment</v>
      </c>
      <c r="L357" s="6" t="str">
        <f>_xlfn.IFNA(VLOOKUP(C357,merchants!$A$1:$D$41,4,0),"Merchant not found")</f>
        <v>East</v>
      </c>
      <c r="M357" s="9">
        <f t="shared" si="11"/>
        <v>0</v>
      </c>
      <c r="N357" s="6" t="str">
        <f>IF(AND(L357&lt;&gt;"East",SUMIFS(merchant_workbook_pivot_table!$D$2:$D$444,merchant_workbook_pivot_table!$C$2:$C$444,E357,merchant_workbook_pivot_table!$B$2:$B$444,J357)&gt;5000),"High-Value Merchant Day",IF(AND(L357&lt;&gt;"East",SUMIFS(merchant_workbook_pivot_table!$D$2:$D$444,merchant_workbook_pivot_table!$C$2:$C$444,E357,merchant_workbook_pivot_table!$B$2:$B$444,J357)&gt;1000),"Mid-Value Merchant Day",""))</f>
        <v/>
      </c>
    </row>
    <row r="358">
      <c r="A358" s="3" t="s">
        <v>425</v>
      </c>
      <c r="B358" s="2">
        <v>20</v>
      </c>
      <c r="C358" s="2">
        <v>9</v>
      </c>
      <c r="D358" s="8" t="s">
        <v>976</v>
      </c>
      <c r="E358" s="6" t="str">
        <f t="shared" si="10"/>
        <v>2026-01-17</v>
      </c>
      <c r="F358" s="2">
        <v>99</v>
      </c>
      <c r="G358" s="3" t="s">
        <v>66</v>
      </c>
      <c r="H358" s="3" t="s">
        <v>64</v>
      </c>
      <c r="I358" s="2">
        <v>91</v>
      </c>
      <c r="J358" s="6" t="str">
        <f>_xlfn.IFNA(VLOOKUP(C358,merchants!$A$1:$D$41,2,0),"Merchant not found")</f>
        <v>Merchant_009</v>
      </c>
      <c r="K358" s="6" t="str">
        <f>_xlfn.IFNA(VLOOKUP(C358,merchants!$A$1:$D$41,3,0),"Merchant not found")</f>
        <v>ecommerce</v>
      </c>
      <c r="L358" s="6" t="str">
        <f>_xlfn.IFNA(VLOOKUP(C358,merchants!$A$1:$D$41,4,0),"Merchant not found")</f>
        <v>North</v>
      </c>
      <c r="M358" s="9">
        <f t="shared" si="11"/>
        <v>0</v>
      </c>
      <c r="N358" s="6" t="str">
        <f>IF(AND(L358&lt;&gt;"East",SUMIFS(merchant_workbook_pivot_table!$D$2:$D$444,merchant_workbook_pivot_table!$C$2:$C$444,E358,merchant_workbook_pivot_table!$B$2:$B$444,J358)&gt;5000),"High-Value Merchant Day",IF(AND(L358&lt;&gt;"East",SUMIFS(merchant_workbook_pivot_table!$D$2:$D$444,merchant_workbook_pivot_table!$C$2:$C$444,E358,merchant_workbook_pivot_table!$B$2:$B$444,J358)&gt;1000),"Mid-Value Merchant Day",""))</f>
        <v/>
      </c>
    </row>
    <row r="359">
      <c r="A359" s="3" t="s">
        <v>426</v>
      </c>
      <c r="B359" s="2">
        <v>234</v>
      </c>
      <c r="C359" s="2">
        <v>10</v>
      </c>
      <c r="D359" s="8" t="s">
        <v>977</v>
      </c>
      <c r="E359" s="6" t="str">
        <f t="shared" si="10"/>
        <v>2026-01-11</v>
      </c>
      <c r="F359" s="2">
        <v>49</v>
      </c>
      <c r="G359" s="3" t="s">
        <v>66</v>
      </c>
      <c r="H359" s="3" t="s">
        <v>64</v>
      </c>
      <c r="I359" s="2">
        <v>77</v>
      </c>
      <c r="J359" s="6" t="str">
        <f>_xlfn.IFNA(VLOOKUP(C359,merchants!$A$1:$D$41,2,0),"Merchant not found")</f>
        <v>Merchant_010</v>
      </c>
      <c r="K359" s="6" t="str">
        <f>_xlfn.IFNA(VLOOKUP(C359,merchants!$A$1:$D$41,3,0),"Merchant not found")</f>
        <v>grocery</v>
      </c>
      <c r="L359" s="6" t="str">
        <f>_xlfn.IFNA(VLOOKUP(C359,merchants!$A$1:$D$41,4,0),"Merchant not found")</f>
        <v>West</v>
      </c>
      <c r="M359" s="9">
        <f t="shared" si="11"/>
        <v>0</v>
      </c>
      <c r="N359" s="6" t="str">
        <f>IF(AND(L359&lt;&gt;"East",SUMIFS(merchant_workbook_pivot_table!$D$2:$D$444,merchant_workbook_pivot_table!$C$2:$C$444,E359,merchant_workbook_pivot_table!$B$2:$B$444,J359)&gt;5000),"High-Value Merchant Day",IF(AND(L359&lt;&gt;"East",SUMIFS(merchant_workbook_pivot_table!$D$2:$D$444,merchant_workbook_pivot_table!$C$2:$C$444,E359,merchant_workbook_pivot_table!$B$2:$B$444,J359)&gt;1000),"Mid-Value Merchant Day",""))</f>
        <v/>
      </c>
    </row>
    <row r="360">
      <c r="A360" s="3" t="s">
        <v>427</v>
      </c>
      <c r="B360" s="2">
        <v>168</v>
      </c>
      <c r="C360" s="2">
        <v>40</v>
      </c>
      <c r="D360" s="8" t="s">
        <v>978</v>
      </c>
      <c r="E360" s="6" t="str">
        <f t="shared" si="10"/>
        <v>2026-01-29</v>
      </c>
      <c r="F360" s="2">
        <v>149</v>
      </c>
      <c r="G360" s="3" t="s">
        <v>66</v>
      </c>
      <c r="H360" s="3" t="s">
        <v>92</v>
      </c>
      <c r="I360" s="2">
        <v>40</v>
      </c>
      <c r="J360" s="6" t="str">
        <f>_xlfn.IFNA(VLOOKUP(C360,merchants!$A$1:$D$41,2,0),"Merchant not found")</f>
        <v>Merchant_040</v>
      </c>
      <c r="K360" s="6" t="str">
        <f>_xlfn.IFNA(VLOOKUP(C360,merchants!$A$1:$D$41,3,0),"Merchant not found")</f>
        <v>entertainment</v>
      </c>
      <c r="L360" s="6" t="str">
        <f>_xlfn.IFNA(VLOOKUP(C360,merchants!$A$1:$D$41,4,0),"Merchant not found")</f>
        <v>South</v>
      </c>
      <c r="M360" s="9">
        <f t="shared" si="11"/>
        <v>0</v>
      </c>
      <c r="N360" s="6" t="str">
        <f>IF(AND(L360&lt;&gt;"East",SUMIFS(merchant_workbook_pivot_table!$D$2:$D$444,merchant_workbook_pivot_table!$C$2:$C$444,E360,merchant_workbook_pivot_table!$B$2:$B$444,J360)&gt;5000),"High-Value Merchant Day",IF(AND(L360&lt;&gt;"East",SUMIFS(merchant_workbook_pivot_table!$D$2:$D$444,merchant_workbook_pivot_table!$C$2:$C$444,E360,merchant_workbook_pivot_table!$B$2:$B$444,J360)&gt;1000),"Mid-Value Merchant Day",""))</f>
        <v/>
      </c>
    </row>
    <row r="361">
      <c r="A361" s="3" t="s">
        <v>428</v>
      </c>
      <c r="B361" s="2">
        <v>154</v>
      </c>
      <c r="C361" s="2">
        <v>38</v>
      </c>
      <c r="D361" s="8" t="s">
        <v>979</v>
      </c>
      <c r="E361" s="6" t="str">
        <f t="shared" si="10"/>
        <v>2026-01-06</v>
      </c>
      <c r="F361" s="2">
        <v>99</v>
      </c>
      <c r="G361" s="3" t="s">
        <v>69</v>
      </c>
      <c r="H361" s="3" t="s">
        <v>64</v>
      </c>
      <c r="I361" s="2">
        <v>43</v>
      </c>
      <c r="J361" s="6" t="str">
        <f>_xlfn.IFNA(VLOOKUP(C361,merchants!$A$1:$D$41,2,0),"Merchant not found")</f>
        <v>Merchant_038</v>
      </c>
      <c r="K361" s="6" t="str">
        <f>_xlfn.IFNA(VLOOKUP(C361,merchants!$A$1:$D$41,3,0),"Merchant not found")</f>
        <v>grocery</v>
      </c>
      <c r="L361" s="6" t="str">
        <f>_xlfn.IFNA(VLOOKUP(C361,merchants!$A$1:$D$41,4,0),"Merchant not found")</f>
        <v>East</v>
      </c>
      <c r="M361" s="9">
        <f t="shared" si="11"/>
        <v>0.98999999999999999</v>
      </c>
      <c r="N361" s="6" t="str">
        <f>IF(AND(L361&lt;&gt;"East",SUMIFS(merchant_workbook_pivot_table!$D$2:$D$444,merchant_workbook_pivot_table!$C$2:$C$444,E361,merchant_workbook_pivot_table!$B$2:$B$444,J361)&gt;5000),"High-Value Merchant Day",IF(AND(L361&lt;&gt;"East",SUMIFS(merchant_workbook_pivot_table!$D$2:$D$444,merchant_workbook_pivot_table!$C$2:$C$444,E361,merchant_workbook_pivot_table!$B$2:$B$444,J361)&gt;1000),"Mid-Value Merchant Day",""))</f>
        <v/>
      </c>
    </row>
    <row r="362">
      <c r="A362" s="3" t="s">
        <v>429</v>
      </c>
      <c r="B362" s="2">
        <v>251</v>
      </c>
      <c r="C362" s="2">
        <v>37</v>
      </c>
      <c r="D362" s="8" t="s">
        <v>980</v>
      </c>
      <c r="E362" s="6" t="str">
        <f t="shared" si="10"/>
        <v>2026-01-17</v>
      </c>
      <c r="F362" s="2">
        <v>49</v>
      </c>
      <c r="G362" s="3" t="s">
        <v>66</v>
      </c>
      <c r="H362" s="3" t="s">
        <v>64</v>
      </c>
      <c r="I362" s="2">
        <v>38</v>
      </c>
      <c r="J362" s="6" t="str">
        <f>_xlfn.IFNA(VLOOKUP(C362,merchants!$A$1:$D$41,2,0),"Merchant not found")</f>
        <v>Merchant_037</v>
      </c>
      <c r="K362" s="6" t="str">
        <f>_xlfn.IFNA(VLOOKUP(C362,merchants!$A$1:$D$41,3,0),"Merchant not found")</f>
        <v>entertainment</v>
      </c>
      <c r="L362" s="6" t="str">
        <f>_xlfn.IFNA(VLOOKUP(C362,merchants!$A$1:$D$41,4,0),"Merchant not found")</f>
        <v>South</v>
      </c>
      <c r="M362" s="9">
        <f t="shared" si="11"/>
        <v>0</v>
      </c>
      <c r="N362" s="6" t="str">
        <f>IF(AND(L362&lt;&gt;"East",SUMIFS(merchant_workbook_pivot_table!$D$2:$D$444,merchant_workbook_pivot_table!$C$2:$C$444,E362,merchant_workbook_pivot_table!$B$2:$B$444,J362)&gt;5000),"High-Value Merchant Day",IF(AND(L362&lt;&gt;"East",SUMIFS(merchant_workbook_pivot_table!$D$2:$D$444,merchant_workbook_pivot_table!$C$2:$C$444,E362,merchant_workbook_pivot_table!$B$2:$B$444,J362)&gt;1000),"Mid-Value Merchant Day",""))</f>
        <v/>
      </c>
    </row>
    <row r="363">
      <c r="A363" s="3" t="s">
        <v>430</v>
      </c>
      <c r="B363" s="2">
        <v>170</v>
      </c>
      <c r="C363" s="2">
        <v>8</v>
      </c>
      <c r="D363" s="8" t="s">
        <v>981</v>
      </c>
      <c r="E363" s="6" t="str">
        <f t="shared" si="10"/>
        <v>2026-01-16</v>
      </c>
      <c r="F363" s="2">
        <v>2999</v>
      </c>
      <c r="G363" s="3" t="s">
        <v>66</v>
      </c>
      <c r="H363" s="3" t="s">
        <v>64</v>
      </c>
      <c r="I363" s="2">
        <v>53</v>
      </c>
      <c r="J363" s="6" t="str">
        <f>_xlfn.IFNA(VLOOKUP(C363,merchants!$A$1:$D$41,2,0),"Merchant not found")</f>
        <v>Merchant_008</v>
      </c>
      <c r="K363" s="6" t="str">
        <f>_xlfn.IFNA(VLOOKUP(C363,merchants!$A$1:$D$41,3,0),"Merchant not found")</f>
        <v>food_delivery</v>
      </c>
      <c r="L363" s="6" t="str">
        <f>_xlfn.IFNA(VLOOKUP(C363,merchants!$A$1:$D$41,4,0),"Merchant not found")</f>
        <v>North</v>
      </c>
      <c r="M363" s="9">
        <f t="shared" si="11"/>
        <v>0</v>
      </c>
      <c r="N363" s="6" t="str">
        <f>IF(AND(L363&lt;&gt;"East",SUMIFS(merchant_workbook_pivot_table!$D$2:$D$444,merchant_workbook_pivot_table!$C$2:$C$444,E363,merchant_workbook_pivot_table!$B$2:$B$444,J363)&gt;5000),"High-Value Merchant Day",IF(AND(L363&lt;&gt;"East",SUMIFS(merchant_workbook_pivot_table!$D$2:$D$444,merchant_workbook_pivot_table!$C$2:$C$444,E363,merchant_workbook_pivot_table!$B$2:$B$444,J363)&gt;1000),"Mid-Value Merchant Day",""))</f>
        <v xml:space="preserve">Mid-Value Merchant Day</v>
      </c>
    </row>
    <row r="364">
      <c r="A364" s="3" t="s">
        <v>431</v>
      </c>
      <c r="B364" s="2">
        <v>323</v>
      </c>
      <c r="C364" s="2">
        <v>2</v>
      </c>
      <c r="D364" s="8" t="s">
        <v>982</v>
      </c>
      <c r="E364" s="6" t="str">
        <f t="shared" si="10"/>
        <v>2026-01-19</v>
      </c>
      <c r="F364" s="2">
        <v>49</v>
      </c>
      <c r="G364" s="3" t="s">
        <v>69</v>
      </c>
      <c r="H364" s="3" t="s">
        <v>64</v>
      </c>
      <c r="I364" s="2">
        <v>76</v>
      </c>
      <c r="J364" s="6" t="str">
        <f>_xlfn.IFNA(VLOOKUP(C364,merchants!$A$1:$D$41,2,0),"Merchant not found")</f>
        <v>Merchant_002</v>
      </c>
      <c r="K364" s="6" t="str">
        <f>_xlfn.IFNA(VLOOKUP(C364,merchants!$A$1:$D$41,3,0),"Merchant not found")</f>
        <v>grocery</v>
      </c>
      <c r="L364" s="6" t="str">
        <f>_xlfn.IFNA(VLOOKUP(C364,merchants!$A$1:$D$41,4,0),"Merchant not found")</f>
        <v>West</v>
      </c>
      <c r="M364" s="9">
        <f t="shared" si="11"/>
        <v>0.48999999999999999</v>
      </c>
      <c r="N364" s="6" t="str">
        <f>IF(AND(L364&lt;&gt;"East",SUMIFS(merchant_workbook_pivot_table!$D$2:$D$444,merchant_workbook_pivot_table!$C$2:$C$444,E364,merchant_workbook_pivot_table!$B$2:$B$444,J364)&gt;5000),"High-Value Merchant Day",IF(AND(L364&lt;&gt;"East",SUMIFS(merchant_workbook_pivot_table!$D$2:$D$444,merchant_workbook_pivot_table!$C$2:$C$444,E364,merchant_workbook_pivot_table!$B$2:$B$444,J364)&gt;1000),"Mid-Value Merchant Day",""))</f>
        <v/>
      </c>
    </row>
    <row r="365">
      <c r="A365" s="3" t="s">
        <v>432</v>
      </c>
      <c r="B365" s="2">
        <v>297</v>
      </c>
      <c r="C365" s="2">
        <v>37</v>
      </c>
      <c r="D365" s="8" t="s">
        <v>983</v>
      </c>
      <c r="E365" s="6" t="str">
        <f t="shared" si="10"/>
        <v>2026-01-16</v>
      </c>
      <c r="F365" s="2">
        <v>2999</v>
      </c>
      <c r="G365" s="3" t="s">
        <v>63</v>
      </c>
      <c r="H365" s="3" t="s">
        <v>64</v>
      </c>
      <c r="I365" s="2">
        <v>29</v>
      </c>
      <c r="J365" s="6" t="str">
        <f>_xlfn.IFNA(VLOOKUP(C365,merchants!$A$1:$D$41,2,0),"Merchant not found")</f>
        <v>Merchant_037</v>
      </c>
      <c r="K365" s="6" t="str">
        <f>_xlfn.IFNA(VLOOKUP(C365,merchants!$A$1:$D$41,3,0),"Merchant not found")</f>
        <v>entertainment</v>
      </c>
      <c r="L365" s="6" t="str">
        <f>_xlfn.IFNA(VLOOKUP(C365,merchants!$A$1:$D$41,4,0),"Merchant not found")</f>
        <v>South</v>
      </c>
      <c r="M365" s="9">
        <f t="shared" si="11"/>
        <v>44.984999999999999</v>
      </c>
      <c r="N365" s="6" t="str">
        <f>IF(AND(L365&lt;&gt;"East",SUMIFS(merchant_workbook_pivot_table!$D$2:$D$444,merchant_workbook_pivot_table!$C$2:$C$444,E365,merchant_workbook_pivot_table!$B$2:$B$444,J365)&gt;5000),"High-Value Merchant Day",IF(AND(L365&lt;&gt;"East",SUMIFS(merchant_workbook_pivot_table!$D$2:$D$444,merchant_workbook_pivot_table!$C$2:$C$444,E365,merchant_workbook_pivot_table!$B$2:$B$444,J365)&gt;1000),"Mid-Value Merchant Day",""))</f>
        <v xml:space="preserve">Mid-Value Merchant Day</v>
      </c>
    </row>
    <row r="366">
      <c r="A366" s="3" t="s">
        <v>433</v>
      </c>
      <c r="B366" s="2">
        <v>246</v>
      </c>
      <c r="C366" s="2">
        <v>11</v>
      </c>
      <c r="D366" s="8" t="s">
        <v>984</v>
      </c>
      <c r="E366" s="6" t="str">
        <f t="shared" si="10"/>
        <v>2026-01-24</v>
      </c>
      <c r="F366" s="2">
        <v>299</v>
      </c>
      <c r="G366" s="3" t="s">
        <v>66</v>
      </c>
      <c r="H366" s="3" t="s">
        <v>64</v>
      </c>
      <c r="I366" s="2">
        <v>67</v>
      </c>
      <c r="J366" s="6" t="str">
        <f>_xlfn.IFNA(VLOOKUP(C366,merchants!$A$1:$D$41,2,0),"Merchant not found")</f>
        <v>Merchant_011</v>
      </c>
      <c r="K366" s="6" t="str">
        <f>_xlfn.IFNA(VLOOKUP(C366,merchants!$A$1:$D$41,3,0),"Merchant not found")</f>
        <v>ecommerce</v>
      </c>
      <c r="L366" s="6" t="str">
        <f>_xlfn.IFNA(VLOOKUP(C366,merchants!$A$1:$D$41,4,0),"Merchant not found")</f>
        <v>North</v>
      </c>
      <c r="M366" s="9">
        <f t="shared" si="11"/>
        <v>0</v>
      </c>
      <c r="N366" s="6" t="str">
        <f>IF(AND(L366&lt;&gt;"East",SUMIFS(merchant_workbook_pivot_table!$D$2:$D$444,merchant_workbook_pivot_table!$C$2:$C$444,E366,merchant_workbook_pivot_table!$B$2:$B$444,J366)&gt;5000),"High-Value Merchant Day",IF(AND(L366&lt;&gt;"East",SUMIFS(merchant_workbook_pivot_table!$D$2:$D$444,merchant_workbook_pivot_table!$C$2:$C$444,E366,merchant_workbook_pivot_table!$B$2:$B$444,J366)&gt;1000),"Mid-Value Merchant Day",""))</f>
        <v xml:space="preserve">Mid-Value Merchant Day</v>
      </c>
    </row>
    <row r="367">
      <c r="A367" s="3" t="s">
        <v>434</v>
      </c>
      <c r="B367" s="2">
        <v>195</v>
      </c>
      <c r="C367" s="2">
        <v>10</v>
      </c>
      <c r="D367" s="8" t="s">
        <v>985</v>
      </c>
      <c r="E367" s="6" t="str">
        <f t="shared" si="10"/>
        <v>2026-01-21</v>
      </c>
      <c r="F367" s="2">
        <v>99</v>
      </c>
      <c r="G367" s="3" t="s">
        <v>66</v>
      </c>
      <c r="H367" s="3" t="s">
        <v>64</v>
      </c>
      <c r="I367" s="2">
        <v>87</v>
      </c>
      <c r="J367" s="6" t="str">
        <f>_xlfn.IFNA(VLOOKUP(C367,merchants!$A$1:$D$41,2,0),"Merchant not found")</f>
        <v>Merchant_010</v>
      </c>
      <c r="K367" s="6" t="str">
        <f>_xlfn.IFNA(VLOOKUP(C367,merchants!$A$1:$D$41,3,0),"Merchant not found")</f>
        <v>grocery</v>
      </c>
      <c r="L367" s="6" t="str">
        <f>_xlfn.IFNA(VLOOKUP(C367,merchants!$A$1:$D$41,4,0),"Merchant not found")</f>
        <v>West</v>
      </c>
      <c r="M367" s="9">
        <f t="shared" si="11"/>
        <v>0</v>
      </c>
      <c r="N367" s="6" t="str">
        <f>IF(AND(L367&lt;&gt;"East",SUMIFS(merchant_workbook_pivot_table!$D$2:$D$444,merchant_workbook_pivot_table!$C$2:$C$444,E367,merchant_workbook_pivot_table!$B$2:$B$444,J367)&gt;5000),"High-Value Merchant Day",IF(AND(L367&lt;&gt;"East",SUMIFS(merchant_workbook_pivot_table!$D$2:$D$444,merchant_workbook_pivot_table!$C$2:$C$444,E367,merchant_workbook_pivot_table!$B$2:$B$444,J367)&gt;1000),"Mid-Value Merchant Day",""))</f>
        <v/>
      </c>
    </row>
    <row r="368">
      <c r="A368" s="3" t="s">
        <v>435</v>
      </c>
      <c r="B368" s="2">
        <v>57</v>
      </c>
      <c r="C368" s="2">
        <v>13</v>
      </c>
      <c r="D368" s="8" t="s">
        <v>986</v>
      </c>
      <c r="E368" s="6" t="str">
        <f t="shared" si="10"/>
        <v>2026-01-08</v>
      </c>
      <c r="F368" s="2">
        <v>149</v>
      </c>
      <c r="G368" s="3" t="s">
        <v>66</v>
      </c>
      <c r="H368" s="3" t="s">
        <v>64</v>
      </c>
      <c r="I368" s="2">
        <v>2</v>
      </c>
      <c r="J368" s="6" t="str">
        <f>_xlfn.IFNA(VLOOKUP(C368,merchants!$A$1:$D$41,2,0),"Merchant not found")</f>
        <v>Merchant_013</v>
      </c>
      <c r="K368" s="6" t="str">
        <f>_xlfn.IFNA(VLOOKUP(C368,merchants!$A$1:$D$41,3,0),"Merchant not found")</f>
        <v>travel</v>
      </c>
      <c r="L368" s="6" t="str">
        <f>_xlfn.IFNA(VLOOKUP(C368,merchants!$A$1:$D$41,4,0),"Merchant not found")</f>
        <v>East</v>
      </c>
      <c r="M368" s="9">
        <f t="shared" si="11"/>
        <v>0</v>
      </c>
      <c r="N368" s="6" t="str">
        <f>IF(AND(L368&lt;&gt;"East",SUMIFS(merchant_workbook_pivot_table!$D$2:$D$444,merchant_workbook_pivot_table!$C$2:$C$444,E368,merchant_workbook_pivot_table!$B$2:$B$444,J368)&gt;5000),"High-Value Merchant Day",IF(AND(L368&lt;&gt;"East",SUMIFS(merchant_workbook_pivot_table!$D$2:$D$444,merchant_workbook_pivot_table!$C$2:$C$444,E368,merchant_workbook_pivot_table!$B$2:$B$444,J368)&gt;1000),"Mid-Value Merchant Day",""))</f>
        <v/>
      </c>
    </row>
    <row r="369">
      <c r="A369" s="3" t="s">
        <v>436</v>
      </c>
      <c r="B369" s="2">
        <v>78</v>
      </c>
      <c r="C369" s="2">
        <v>27</v>
      </c>
      <c r="D369" s="8" t="s">
        <v>987</v>
      </c>
      <c r="E369" s="6" t="str">
        <f t="shared" si="10"/>
        <v>2026-01-15</v>
      </c>
      <c r="F369" s="2">
        <v>1499</v>
      </c>
      <c r="G369" s="3" t="s">
        <v>69</v>
      </c>
      <c r="H369" s="3" t="s">
        <v>79</v>
      </c>
      <c r="I369" s="2">
        <v>88</v>
      </c>
      <c r="J369" s="6" t="str">
        <f>_xlfn.IFNA(VLOOKUP(C369,merchants!$A$1:$D$41,2,0),"Merchant not found")</f>
        <v>Merchant_027</v>
      </c>
      <c r="K369" s="6" t="str">
        <f>_xlfn.IFNA(VLOOKUP(C369,merchants!$A$1:$D$41,3,0),"Merchant not found")</f>
        <v>ecommerce</v>
      </c>
      <c r="L369" s="6" t="str">
        <f>_xlfn.IFNA(VLOOKUP(C369,merchants!$A$1:$D$41,4,0),"Merchant not found")</f>
        <v>North</v>
      </c>
      <c r="M369" s="9">
        <f t="shared" si="11"/>
        <v>14.99</v>
      </c>
      <c r="N369" s="6" t="str">
        <f>IF(AND(L369&lt;&gt;"East",SUMIFS(merchant_workbook_pivot_table!$D$2:$D$444,merchant_workbook_pivot_table!$C$2:$C$444,E369,merchant_workbook_pivot_table!$B$2:$B$444,J369)&gt;5000),"High-Value Merchant Day",IF(AND(L369&lt;&gt;"East",SUMIFS(merchant_workbook_pivot_table!$D$2:$D$444,merchant_workbook_pivot_table!$C$2:$C$444,E369,merchant_workbook_pivot_table!$B$2:$B$444,J369)&gt;1000),"Mid-Value Merchant Day",""))</f>
        <v xml:space="preserve">Mid-Value Merchant Day</v>
      </c>
    </row>
    <row r="370">
      <c r="A370" s="3" t="s">
        <v>437</v>
      </c>
      <c r="B370" s="2">
        <v>314</v>
      </c>
      <c r="C370" s="2">
        <v>31</v>
      </c>
      <c r="D370" s="8" t="s">
        <v>988</v>
      </c>
      <c r="E370" s="6" t="str">
        <f t="shared" si="10"/>
        <v>2026-01-07</v>
      </c>
      <c r="F370" s="2">
        <v>49</v>
      </c>
      <c r="G370" s="3" t="s">
        <v>66</v>
      </c>
      <c r="H370" s="3" t="s">
        <v>92</v>
      </c>
      <c r="I370" s="2">
        <v>94</v>
      </c>
      <c r="J370" s="6" t="str">
        <f>_xlfn.IFNA(VLOOKUP(C370,merchants!$A$1:$D$41,2,0),"Merchant not found")</f>
        <v>Merchant_031</v>
      </c>
      <c r="K370" s="6" t="str">
        <f>_xlfn.IFNA(VLOOKUP(C370,merchants!$A$1:$D$41,3,0),"Merchant not found")</f>
        <v>bill_payment</v>
      </c>
      <c r="L370" s="6" t="str">
        <f>_xlfn.IFNA(VLOOKUP(C370,merchants!$A$1:$D$41,4,0),"Merchant not found")</f>
        <v>East</v>
      </c>
      <c r="M370" s="9">
        <f t="shared" si="11"/>
        <v>0</v>
      </c>
      <c r="N370" s="6" t="str">
        <f>IF(AND(L370&lt;&gt;"East",SUMIFS(merchant_workbook_pivot_table!$D$2:$D$444,merchant_workbook_pivot_table!$C$2:$C$444,E370,merchant_workbook_pivot_table!$B$2:$B$444,J370)&gt;5000),"High-Value Merchant Day",IF(AND(L370&lt;&gt;"East",SUMIFS(merchant_workbook_pivot_table!$D$2:$D$444,merchant_workbook_pivot_table!$C$2:$C$444,E370,merchant_workbook_pivot_table!$B$2:$B$444,J370)&gt;1000),"Mid-Value Merchant Day",""))</f>
        <v/>
      </c>
    </row>
    <row r="371">
      <c r="A371" s="3" t="s">
        <v>438</v>
      </c>
      <c r="B371" s="2">
        <v>71</v>
      </c>
      <c r="C371" s="2">
        <v>34</v>
      </c>
      <c r="D371" s="8" t="s">
        <v>989</v>
      </c>
      <c r="E371" s="6" t="str">
        <f t="shared" si="10"/>
        <v>2026-01-24</v>
      </c>
      <c r="F371" s="2">
        <v>499</v>
      </c>
      <c r="G371" s="3" t="s">
        <v>66</v>
      </c>
      <c r="H371" s="3" t="s">
        <v>64</v>
      </c>
      <c r="I371" s="2">
        <v>26</v>
      </c>
      <c r="J371" s="6" t="str">
        <f>_xlfn.IFNA(VLOOKUP(C371,merchants!$A$1:$D$41,2,0),"Merchant not found")</f>
        <v>Merchant_034</v>
      </c>
      <c r="K371" s="6" t="str">
        <f>_xlfn.IFNA(VLOOKUP(C371,merchants!$A$1:$D$41,3,0),"Merchant not found")</f>
        <v>travel</v>
      </c>
      <c r="L371" s="6" t="str">
        <f>_xlfn.IFNA(VLOOKUP(C371,merchants!$A$1:$D$41,4,0),"Merchant not found")</f>
        <v>South</v>
      </c>
      <c r="M371" s="9">
        <f t="shared" si="11"/>
        <v>0</v>
      </c>
      <c r="N371" s="6" t="str">
        <f>IF(AND(L371&lt;&gt;"East",SUMIFS(merchant_workbook_pivot_table!$D$2:$D$444,merchant_workbook_pivot_table!$C$2:$C$444,E371,merchant_workbook_pivot_table!$B$2:$B$444,J371)&gt;5000),"High-Value Merchant Day",IF(AND(L371&lt;&gt;"East",SUMIFS(merchant_workbook_pivot_table!$D$2:$D$444,merchant_workbook_pivot_table!$C$2:$C$444,E371,merchant_workbook_pivot_table!$B$2:$B$444,J371)&gt;1000),"Mid-Value Merchant Day",""))</f>
        <v/>
      </c>
    </row>
    <row r="372">
      <c r="A372" s="3" t="s">
        <v>439</v>
      </c>
      <c r="B372" s="2">
        <v>245</v>
      </c>
      <c r="C372" s="2">
        <v>34</v>
      </c>
      <c r="D372" s="8" t="s">
        <v>990</v>
      </c>
      <c r="E372" s="6" t="str">
        <f t="shared" si="10"/>
        <v>2026-01-18</v>
      </c>
      <c r="F372" s="2">
        <v>99</v>
      </c>
      <c r="G372" s="3" t="s">
        <v>66</v>
      </c>
      <c r="H372" s="3" t="s">
        <v>64</v>
      </c>
      <c r="I372" s="2">
        <v>48</v>
      </c>
      <c r="J372" s="6" t="str">
        <f>_xlfn.IFNA(VLOOKUP(C372,merchants!$A$1:$D$41,2,0),"Merchant not found")</f>
        <v>Merchant_034</v>
      </c>
      <c r="K372" s="6" t="str">
        <f>_xlfn.IFNA(VLOOKUP(C372,merchants!$A$1:$D$41,3,0),"Merchant not found")</f>
        <v>travel</v>
      </c>
      <c r="L372" s="6" t="str">
        <f>_xlfn.IFNA(VLOOKUP(C372,merchants!$A$1:$D$41,4,0),"Merchant not found")</f>
        <v>South</v>
      </c>
      <c r="M372" s="9">
        <f t="shared" si="11"/>
        <v>0</v>
      </c>
      <c r="N372" s="6" t="str">
        <f>IF(AND(L372&lt;&gt;"East",SUMIFS(merchant_workbook_pivot_table!$D$2:$D$444,merchant_workbook_pivot_table!$C$2:$C$444,E372,merchant_workbook_pivot_table!$B$2:$B$444,J372)&gt;5000),"High-Value Merchant Day",IF(AND(L372&lt;&gt;"East",SUMIFS(merchant_workbook_pivot_table!$D$2:$D$444,merchant_workbook_pivot_table!$C$2:$C$444,E372,merchant_workbook_pivot_table!$B$2:$B$444,J372)&gt;1000),"Mid-Value Merchant Day",""))</f>
        <v/>
      </c>
    </row>
    <row r="373">
      <c r="A373" s="3" t="s">
        <v>440</v>
      </c>
      <c r="B373" s="2">
        <v>273</v>
      </c>
      <c r="C373" s="2">
        <v>22</v>
      </c>
      <c r="D373" s="8" t="s">
        <v>991</v>
      </c>
      <c r="E373" s="6" t="str">
        <f t="shared" si="10"/>
        <v>2026-01-11</v>
      </c>
      <c r="F373" s="2">
        <v>299</v>
      </c>
      <c r="G373" s="3" t="s">
        <v>63</v>
      </c>
      <c r="H373" s="3" t="s">
        <v>64</v>
      </c>
      <c r="I373" s="2">
        <v>69</v>
      </c>
      <c r="J373" s="6" t="str">
        <f>_xlfn.IFNA(VLOOKUP(C373,merchants!$A$1:$D$41,2,0),"Merchant not found")</f>
        <v>Merchant_022</v>
      </c>
      <c r="K373" s="6" t="str">
        <f>_xlfn.IFNA(VLOOKUP(C373,merchants!$A$1:$D$41,3,0),"Merchant not found")</f>
        <v>travel</v>
      </c>
      <c r="L373" s="6" t="str">
        <f>_xlfn.IFNA(VLOOKUP(C373,merchants!$A$1:$D$41,4,0),"Merchant not found")</f>
        <v>South</v>
      </c>
      <c r="M373" s="9">
        <f t="shared" si="11"/>
        <v>4.4849999999999994</v>
      </c>
      <c r="N373" s="6" t="str">
        <f>IF(AND(L373&lt;&gt;"East",SUMIFS(merchant_workbook_pivot_table!$D$2:$D$444,merchant_workbook_pivot_table!$C$2:$C$444,E373,merchant_workbook_pivot_table!$B$2:$B$444,J373)&gt;5000),"High-Value Merchant Day",IF(AND(L373&lt;&gt;"East",SUMIFS(merchant_workbook_pivot_table!$D$2:$D$444,merchant_workbook_pivot_table!$C$2:$C$444,E373,merchant_workbook_pivot_table!$B$2:$B$444,J373)&gt;1000),"Mid-Value Merchant Day",""))</f>
        <v/>
      </c>
    </row>
    <row r="374">
      <c r="A374" s="3" t="s">
        <v>441</v>
      </c>
      <c r="B374" s="2">
        <v>349</v>
      </c>
      <c r="C374" s="2">
        <v>17</v>
      </c>
      <c r="D374" s="8" t="s">
        <v>992</v>
      </c>
      <c r="E374" s="6" t="str">
        <f t="shared" si="10"/>
        <v>2026-01-12</v>
      </c>
      <c r="F374" s="2">
        <v>1499</v>
      </c>
      <c r="G374" s="3" t="s">
        <v>66</v>
      </c>
      <c r="H374" s="3" t="s">
        <v>64</v>
      </c>
      <c r="I374" s="2">
        <v>78</v>
      </c>
      <c r="J374" s="6" t="str">
        <f>_xlfn.IFNA(VLOOKUP(C374,merchants!$A$1:$D$41,2,0),"Merchant not found")</f>
        <v>Merchant_017</v>
      </c>
      <c r="K374" s="6" t="str">
        <f>_xlfn.IFNA(VLOOKUP(C374,merchants!$A$1:$D$41,3,0),"Merchant not found")</f>
        <v>grocery</v>
      </c>
      <c r="L374" s="6" t="str">
        <f>_xlfn.IFNA(VLOOKUP(C374,merchants!$A$1:$D$41,4,0),"Merchant not found")</f>
        <v>North</v>
      </c>
      <c r="M374" s="9">
        <f t="shared" si="11"/>
        <v>0</v>
      </c>
      <c r="N374" s="6" t="str">
        <f>IF(AND(L374&lt;&gt;"East",SUMIFS(merchant_workbook_pivot_table!$D$2:$D$444,merchant_workbook_pivot_table!$C$2:$C$444,E374,merchant_workbook_pivot_table!$B$2:$B$444,J374)&gt;5000),"High-Value Merchant Day",IF(AND(L374&lt;&gt;"East",SUMIFS(merchant_workbook_pivot_table!$D$2:$D$444,merchant_workbook_pivot_table!$C$2:$C$444,E374,merchant_workbook_pivot_table!$B$2:$B$444,J374)&gt;1000),"Mid-Value Merchant Day",""))</f>
        <v xml:space="preserve">Mid-Value Merchant Day</v>
      </c>
    </row>
    <row r="375">
      <c r="A375" s="3" t="s">
        <v>442</v>
      </c>
      <c r="B375" s="2">
        <v>143</v>
      </c>
      <c r="C375" s="2">
        <v>36</v>
      </c>
      <c r="D375" s="8" t="s">
        <v>993</v>
      </c>
      <c r="E375" s="6" t="str">
        <f t="shared" si="10"/>
        <v>2026-01-16</v>
      </c>
      <c r="F375" s="2">
        <v>1499</v>
      </c>
      <c r="G375" s="3" t="s">
        <v>69</v>
      </c>
      <c r="H375" s="3" t="s">
        <v>64</v>
      </c>
      <c r="I375" s="2">
        <v>38</v>
      </c>
      <c r="J375" s="6" t="str">
        <f>_xlfn.IFNA(VLOOKUP(C375,merchants!$A$1:$D$41,2,0),"Merchant not found")</f>
        <v>Merchant_036</v>
      </c>
      <c r="K375" s="6" t="str">
        <f>_xlfn.IFNA(VLOOKUP(C375,merchants!$A$1:$D$41,3,0),"Merchant not found")</f>
        <v>entertainment</v>
      </c>
      <c r="L375" s="6" t="str">
        <f>_xlfn.IFNA(VLOOKUP(C375,merchants!$A$1:$D$41,4,0),"Merchant not found")</f>
        <v>East</v>
      </c>
      <c r="M375" s="9">
        <f t="shared" si="11"/>
        <v>14.99</v>
      </c>
      <c r="N375" s="6" t="str">
        <f>IF(AND(L375&lt;&gt;"East",SUMIFS(merchant_workbook_pivot_table!$D$2:$D$444,merchant_workbook_pivot_table!$C$2:$C$444,E375,merchant_workbook_pivot_table!$B$2:$B$444,J375)&gt;5000),"High-Value Merchant Day",IF(AND(L375&lt;&gt;"East",SUMIFS(merchant_workbook_pivot_table!$D$2:$D$444,merchant_workbook_pivot_table!$C$2:$C$444,E375,merchant_workbook_pivot_table!$B$2:$B$444,J375)&gt;1000),"Mid-Value Merchant Day",""))</f>
        <v/>
      </c>
    </row>
    <row r="376">
      <c r="A376" s="3" t="s">
        <v>443</v>
      </c>
      <c r="B376" s="2">
        <v>148</v>
      </c>
      <c r="C376" s="2">
        <v>14</v>
      </c>
      <c r="D376" s="8" t="s">
        <v>994</v>
      </c>
      <c r="E376" s="6" t="str">
        <f t="shared" si="10"/>
        <v>2026-01-08</v>
      </c>
      <c r="F376" s="2">
        <v>799</v>
      </c>
      <c r="G376" s="3" t="s">
        <v>63</v>
      </c>
      <c r="H376" s="3" t="s">
        <v>64</v>
      </c>
      <c r="I376" s="2">
        <v>88</v>
      </c>
      <c r="J376" s="6" t="str">
        <f>_xlfn.IFNA(VLOOKUP(C376,merchants!$A$1:$D$41,2,0),"Merchant not found")</f>
        <v>Merchant_014</v>
      </c>
      <c r="K376" s="6" t="str">
        <f>_xlfn.IFNA(VLOOKUP(C376,merchants!$A$1:$D$41,3,0),"Merchant not found")</f>
        <v>grocery</v>
      </c>
      <c r="L376" s="6" t="str">
        <f>_xlfn.IFNA(VLOOKUP(C376,merchants!$A$1:$D$41,4,0),"Merchant not found")</f>
        <v>East</v>
      </c>
      <c r="M376" s="9">
        <f t="shared" si="11"/>
        <v>11.984999999999999</v>
      </c>
      <c r="N376" s="6" t="str">
        <f>IF(AND(L376&lt;&gt;"East",SUMIFS(merchant_workbook_pivot_table!$D$2:$D$444,merchant_workbook_pivot_table!$C$2:$C$444,E376,merchant_workbook_pivot_table!$B$2:$B$444,J376)&gt;5000),"High-Value Merchant Day",IF(AND(L376&lt;&gt;"East",SUMIFS(merchant_workbook_pivot_table!$D$2:$D$444,merchant_workbook_pivot_table!$C$2:$C$444,E376,merchant_workbook_pivot_table!$B$2:$B$444,J376)&gt;1000),"Mid-Value Merchant Day",""))</f>
        <v/>
      </c>
    </row>
    <row r="377">
      <c r="A377" s="3" t="s">
        <v>444</v>
      </c>
      <c r="B377" s="2">
        <v>246</v>
      </c>
      <c r="C377" s="2">
        <v>23</v>
      </c>
      <c r="D377" s="8" t="s">
        <v>995</v>
      </c>
      <c r="E377" s="6" t="str">
        <f t="shared" si="10"/>
        <v>2026-01-23</v>
      </c>
      <c r="F377" s="2">
        <v>49</v>
      </c>
      <c r="G377" s="3" t="s">
        <v>66</v>
      </c>
      <c r="H377" s="3" t="s">
        <v>64</v>
      </c>
      <c r="I377" s="2">
        <v>71</v>
      </c>
      <c r="J377" s="6" t="str">
        <f>_xlfn.IFNA(VLOOKUP(C377,merchants!$A$1:$D$41,2,0),"Merchant not found")</f>
        <v>Merchant_023</v>
      </c>
      <c r="K377" s="6" t="str">
        <f>_xlfn.IFNA(VLOOKUP(C377,merchants!$A$1:$D$41,3,0),"Merchant not found")</f>
        <v>travel</v>
      </c>
      <c r="L377" s="6" t="str">
        <f>_xlfn.IFNA(VLOOKUP(C377,merchants!$A$1:$D$41,4,0),"Merchant not found")</f>
        <v>North</v>
      </c>
      <c r="M377" s="9">
        <f t="shared" si="11"/>
        <v>0</v>
      </c>
      <c r="N377" s="6" t="str">
        <f>IF(AND(L377&lt;&gt;"East",SUMIFS(merchant_workbook_pivot_table!$D$2:$D$444,merchant_workbook_pivot_table!$C$2:$C$444,E377,merchant_workbook_pivot_table!$B$2:$B$444,J377)&gt;5000),"High-Value Merchant Day",IF(AND(L377&lt;&gt;"East",SUMIFS(merchant_workbook_pivot_table!$D$2:$D$444,merchant_workbook_pivot_table!$C$2:$C$444,E377,merchant_workbook_pivot_table!$B$2:$B$444,J377)&gt;1000),"Mid-Value Merchant Day",""))</f>
        <v/>
      </c>
    </row>
    <row r="378">
      <c r="A378" s="3" t="s">
        <v>445</v>
      </c>
      <c r="B378" s="2">
        <v>148</v>
      </c>
      <c r="C378" s="2">
        <v>8</v>
      </c>
      <c r="D378" s="8" t="s">
        <v>996</v>
      </c>
      <c r="E378" s="6" t="str">
        <f t="shared" si="10"/>
        <v>2026-01-30</v>
      </c>
      <c r="F378" s="2">
        <v>99</v>
      </c>
      <c r="G378" s="3" t="s">
        <v>63</v>
      </c>
      <c r="H378" s="3" t="s">
        <v>64</v>
      </c>
      <c r="I378" s="2">
        <v>73</v>
      </c>
      <c r="J378" s="6" t="str">
        <f>_xlfn.IFNA(VLOOKUP(C378,merchants!$A$1:$D$41,2,0),"Merchant not found")</f>
        <v>Merchant_008</v>
      </c>
      <c r="K378" s="6" t="str">
        <f>_xlfn.IFNA(VLOOKUP(C378,merchants!$A$1:$D$41,3,0),"Merchant not found")</f>
        <v>food_delivery</v>
      </c>
      <c r="L378" s="6" t="str">
        <f>_xlfn.IFNA(VLOOKUP(C378,merchants!$A$1:$D$41,4,0),"Merchant not found")</f>
        <v>North</v>
      </c>
      <c r="M378" s="9">
        <f t="shared" si="11"/>
        <v>1.4849999999999999</v>
      </c>
      <c r="N378" s="6" t="str">
        <f>IF(AND(L378&lt;&gt;"East",SUMIFS(merchant_workbook_pivot_table!$D$2:$D$444,merchant_workbook_pivot_table!$C$2:$C$444,E378,merchant_workbook_pivot_table!$B$2:$B$444,J378)&gt;5000),"High-Value Merchant Day",IF(AND(L378&lt;&gt;"East",SUMIFS(merchant_workbook_pivot_table!$D$2:$D$444,merchant_workbook_pivot_table!$C$2:$C$444,E378,merchant_workbook_pivot_table!$B$2:$B$444,J378)&gt;1000),"Mid-Value Merchant Day",""))</f>
        <v/>
      </c>
    </row>
    <row r="379">
      <c r="A379" s="3" t="s">
        <v>446</v>
      </c>
      <c r="B379" s="2">
        <v>203</v>
      </c>
      <c r="C379" s="2">
        <v>23</v>
      </c>
      <c r="D379" s="8" t="s">
        <v>997</v>
      </c>
      <c r="E379" s="6" t="str">
        <f t="shared" si="10"/>
        <v>2026-01-22</v>
      </c>
      <c r="F379" s="2">
        <v>49</v>
      </c>
      <c r="G379" s="3" t="s">
        <v>66</v>
      </c>
      <c r="H379" s="3" t="s">
        <v>64</v>
      </c>
      <c r="I379" s="2">
        <v>98</v>
      </c>
      <c r="J379" s="6" t="str">
        <f>_xlfn.IFNA(VLOOKUP(C379,merchants!$A$1:$D$41,2,0),"Merchant not found")</f>
        <v>Merchant_023</v>
      </c>
      <c r="K379" s="6" t="str">
        <f>_xlfn.IFNA(VLOOKUP(C379,merchants!$A$1:$D$41,3,0),"Merchant not found")</f>
        <v>travel</v>
      </c>
      <c r="L379" s="6" t="str">
        <f>_xlfn.IFNA(VLOOKUP(C379,merchants!$A$1:$D$41,4,0),"Merchant not found")</f>
        <v>North</v>
      </c>
      <c r="M379" s="9">
        <f t="shared" si="11"/>
        <v>0</v>
      </c>
      <c r="N379" s="6" t="str">
        <f>IF(AND(L379&lt;&gt;"East",SUMIFS(merchant_workbook_pivot_table!$D$2:$D$444,merchant_workbook_pivot_table!$C$2:$C$444,E379,merchant_workbook_pivot_table!$B$2:$B$444,J379)&gt;5000),"High-Value Merchant Day",IF(AND(L379&lt;&gt;"East",SUMIFS(merchant_workbook_pivot_table!$D$2:$D$444,merchant_workbook_pivot_table!$C$2:$C$444,E379,merchant_workbook_pivot_table!$B$2:$B$444,J379)&gt;1000),"Mid-Value Merchant Day",""))</f>
        <v/>
      </c>
    </row>
    <row r="380">
      <c r="A380" s="3" t="s">
        <v>447</v>
      </c>
      <c r="B380" s="2">
        <v>22</v>
      </c>
      <c r="C380" s="2">
        <v>19</v>
      </c>
      <c r="D380" s="8" t="s">
        <v>998</v>
      </c>
      <c r="E380" s="6" t="str">
        <f t="shared" si="10"/>
        <v>2026-01-26</v>
      </c>
      <c r="F380" s="2">
        <v>49</v>
      </c>
      <c r="G380" s="3" t="s">
        <v>78</v>
      </c>
      <c r="H380" s="3" t="s">
        <v>64</v>
      </c>
      <c r="I380" s="2">
        <v>91</v>
      </c>
      <c r="J380" s="6" t="str">
        <f>_xlfn.IFNA(VLOOKUP(C380,merchants!$A$1:$D$41,2,0),"Merchant not found")</f>
        <v>Merchant_019</v>
      </c>
      <c r="K380" s="6" t="str">
        <f>_xlfn.IFNA(VLOOKUP(C380,merchants!$A$1:$D$41,3,0),"Merchant not found")</f>
        <v>grocery</v>
      </c>
      <c r="L380" s="6" t="str">
        <f>_xlfn.IFNA(VLOOKUP(C380,merchants!$A$1:$D$41,4,0),"Merchant not found")</f>
        <v>North</v>
      </c>
      <c r="M380" s="9">
        <f t="shared" si="11"/>
        <v>0.97999999999999998</v>
      </c>
      <c r="N380" s="6" t="str">
        <f>IF(AND(L380&lt;&gt;"East",SUMIFS(merchant_workbook_pivot_table!$D$2:$D$444,merchant_workbook_pivot_table!$C$2:$C$444,E380,merchant_workbook_pivot_table!$B$2:$B$444,J380)&gt;5000),"High-Value Merchant Day",IF(AND(L380&lt;&gt;"East",SUMIFS(merchant_workbook_pivot_table!$D$2:$D$444,merchant_workbook_pivot_table!$C$2:$C$444,E380,merchant_workbook_pivot_table!$B$2:$B$444,J380)&gt;1000),"Mid-Value Merchant Day",""))</f>
        <v/>
      </c>
    </row>
    <row r="381">
      <c r="A381" s="3" t="s">
        <v>448</v>
      </c>
      <c r="B381" s="2">
        <v>227</v>
      </c>
      <c r="C381" s="2">
        <v>17</v>
      </c>
      <c r="D381" s="8" t="s">
        <v>999</v>
      </c>
      <c r="E381" s="6" t="str">
        <f t="shared" si="10"/>
        <v>2026-01-03</v>
      </c>
      <c r="F381" s="2">
        <v>299</v>
      </c>
      <c r="G381" s="3" t="s">
        <v>63</v>
      </c>
      <c r="H381" s="3" t="s">
        <v>64</v>
      </c>
      <c r="I381" s="2">
        <v>95</v>
      </c>
      <c r="J381" s="6" t="str">
        <f>_xlfn.IFNA(VLOOKUP(C381,merchants!$A$1:$D$41,2,0),"Merchant not found")</f>
        <v>Merchant_017</v>
      </c>
      <c r="K381" s="6" t="str">
        <f>_xlfn.IFNA(VLOOKUP(C381,merchants!$A$1:$D$41,3,0),"Merchant not found")</f>
        <v>grocery</v>
      </c>
      <c r="L381" s="6" t="str">
        <f>_xlfn.IFNA(VLOOKUP(C381,merchants!$A$1:$D$41,4,0),"Merchant not found")</f>
        <v>North</v>
      </c>
      <c r="M381" s="9">
        <f t="shared" si="11"/>
        <v>4.4849999999999994</v>
      </c>
      <c r="N381" s="6" t="str">
        <f>IF(AND(L381&lt;&gt;"East",SUMIFS(merchant_workbook_pivot_table!$D$2:$D$444,merchant_workbook_pivot_table!$C$2:$C$444,E381,merchant_workbook_pivot_table!$B$2:$B$444,J381)&gt;5000),"High-Value Merchant Day",IF(AND(L381&lt;&gt;"East",SUMIFS(merchant_workbook_pivot_table!$D$2:$D$444,merchant_workbook_pivot_table!$C$2:$C$444,E381,merchant_workbook_pivot_table!$B$2:$B$444,J381)&gt;1000),"Mid-Value Merchant Day",""))</f>
        <v/>
      </c>
    </row>
    <row r="382">
      <c r="A382" s="3" t="s">
        <v>449</v>
      </c>
      <c r="B382" s="2">
        <v>276</v>
      </c>
      <c r="C382" s="2">
        <v>18</v>
      </c>
      <c r="D382" s="8" t="s">
        <v>1000</v>
      </c>
      <c r="E382" s="6" t="str">
        <f t="shared" si="10"/>
        <v>2026-01-16</v>
      </c>
      <c r="F382" s="2">
        <v>149</v>
      </c>
      <c r="G382" s="3" t="s">
        <v>63</v>
      </c>
      <c r="H382" s="3" t="s">
        <v>64</v>
      </c>
      <c r="I382" s="2">
        <v>71</v>
      </c>
      <c r="J382" s="6" t="str">
        <f>_xlfn.IFNA(VLOOKUP(C382,merchants!$A$1:$D$41,2,0),"Merchant not found")</f>
        <v>Merchant_018</v>
      </c>
      <c r="K382" s="6" t="str">
        <f>_xlfn.IFNA(VLOOKUP(C382,merchants!$A$1:$D$41,3,0),"Merchant not found")</f>
        <v>grocery</v>
      </c>
      <c r="L382" s="6" t="str">
        <f>_xlfn.IFNA(VLOOKUP(C382,merchants!$A$1:$D$41,4,0),"Merchant not found")</f>
        <v>West</v>
      </c>
      <c r="M382" s="9">
        <f t="shared" si="11"/>
        <v>2.2349999999999999</v>
      </c>
      <c r="N382" s="6" t="str">
        <f>IF(AND(L382&lt;&gt;"East",SUMIFS(merchant_workbook_pivot_table!$D$2:$D$444,merchant_workbook_pivot_table!$C$2:$C$444,E382,merchant_workbook_pivot_table!$B$2:$B$444,J382)&gt;5000),"High-Value Merchant Day",IF(AND(L382&lt;&gt;"East",SUMIFS(merchant_workbook_pivot_table!$D$2:$D$444,merchant_workbook_pivot_table!$C$2:$C$444,E382,merchant_workbook_pivot_table!$B$2:$B$444,J382)&gt;1000),"Mid-Value Merchant Day",""))</f>
        <v xml:space="preserve">Mid-Value Merchant Day</v>
      </c>
    </row>
    <row r="383">
      <c r="A383" s="3" t="s">
        <v>450</v>
      </c>
      <c r="B383" s="2">
        <v>56</v>
      </c>
      <c r="C383" s="2">
        <v>40</v>
      </c>
      <c r="D383" s="8" t="s">
        <v>1001</v>
      </c>
      <c r="E383" s="6" t="str">
        <f t="shared" si="10"/>
        <v>2026-01-23</v>
      </c>
      <c r="F383" s="2">
        <v>99</v>
      </c>
      <c r="G383" s="3" t="s">
        <v>78</v>
      </c>
      <c r="H383" s="3" t="s">
        <v>64</v>
      </c>
      <c r="I383" s="2">
        <v>94</v>
      </c>
      <c r="J383" s="6" t="str">
        <f>_xlfn.IFNA(VLOOKUP(C383,merchants!$A$1:$D$41,2,0),"Merchant not found")</f>
        <v>Merchant_040</v>
      </c>
      <c r="K383" s="6" t="str">
        <f>_xlfn.IFNA(VLOOKUP(C383,merchants!$A$1:$D$41,3,0),"Merchant not found")</f>
        <v>entertainment</v>
      </c>
      <c r="L383" s="6" t="str">
        <f>_xlfn.IFNA(VLOOKUP(C383,merchants!$A$1:$D$41,4,0),"Merchant not found")</f>
        <v>South</v>
      </c>
      <c r="M383" s="9">
        <f t="shared" si="11"/>
        <v>1.98</v>
      </c>
      <c r="N383" s="6" t="str">
        <f>IF(AND(L383&lt;&gt;"East",SUMIFS(merchant_workbook_pivot_table!$D$2:$D$444,merchant_workbook_pivot_table!$C$2:$C$444,E383,merchant_workbook_pivot_table!$B$2:$B$444,J383)&gt;5000),"High-Value Merchant Day",IF(AND(L383&lt;&gt;"East",SUMIFS(merchant_workbook_pivot_table!$D$2:$D$444,merchant_workbook_pivot_table!$C$2:$C$444,E383,merchant_workbook_pivot_table!$B$2:$B$444,J383)&gt;1000),"Mid-Value Merchant Day",""))</f>
        <v/>
      </c>
    </row>
    <row r="384">
      <c r="A384" s="3" t="s">
        <v>451</v>
      </c>
      <c r="B384" s="2">
        <v>26</v>
      </c>
      <c r="C384" s="2">
        <v>34</v>
      </c>
      <c r="D384" s="8" t="s">
        <v>1002</v>
      </c>
      <c r="E384" s="6" t="str">
        <f t="shared" si="10"/>
        <v>2026-01-19</v>
      </c>
      <c r="F384" s="2">
        <v>499</v>
      </c>
      <c r="G384" s="3" t="s">
        <v>78</v>
      </c>
      <c r="H384" s="3" t="s">
        <v>64</v>
      </c>
      <c r="I384" s="2">
        <v>28</v>
      </c>
      <c r="J384" s="6" t="str">
        <f>_xlfn.IFNA(VLOOKUP(C384,merchants!$A$1:$D$41,2,0),"Merchant not found")</f>
        <v>Merchant_034</v>
      </c>
      <c r="K384" s="6" t="str">
        <f>_xlfn.IFNA(VLOOKUP(C384,merchants!$A$1:$D$41,3,0),"Merchant not found")</f>
        <v>travel</v>
      </c>
      <c r="L384" s="6" t="str">
        <f>_xlfn.IFNA(VLOOKUP(C384,merchants!$A$1:$D$41,4,0),"Merchant not found")</f>
        <v>South</v>
      </c>
      <c r="M384" s="9">
        <f t="shared" si="11"/>
        <v>9.9800000000000004</v>
      </c>
      <c r="N384" s="6" t="str">
        <f>IF(AND(L384&lt;&gt;"East",SUMIFS(merchant_workbook_pivot_table!$D$2:$D$444,merchant_workbook_pivot_table!$C$2:$C$444,E384,merchant_workbook_pivot_table!$B$2:$B$444,J384)&gt;5000),"High-Value Merchant Day",IF(AND(L384&lt;&gt;"East",SUMIFS(merchant_workbook_pivot_table!$D$2:$D$444,merchant_workbook_pivot_table!$C$2:$C$444,E384,merchant_workbook_pivot_table!$B$2:$B$444,J384)&gt;1000),"Mid-Value Merchant Day",""))</f>
        <v/>
      </c>
    </row>
    <row r="385">
      <c r="A385" s="3" t="s">
        <v>452</v>
      </c>
      <c r="B385" s="2">
        <v>52</v>
      </c>
      <c r="C385" s="2">
        <v>27</v>
      </c>
      <c r="D385" s="8" t="s">
        <v>1003</v>
      </c>
      <c r="E385" s="6" t="str">
        <f t="shared" si="10"/>
        <v>2026-01-21</v>
      </c>
      <c r="F385" s="2">
        <v>499</v>
      </c>
      <c r="G385" s="3" t="s">
        <v>78</v>
      </c>
      <c r="H385" s="3" t="s">
        <v>64</v>
      </c>
      <c r="I385" s="2">
        <v>42</v>
      </c>
      <c r="J385" s="6" t="str">
        <f>_xlfn.IFNA(VLOOKUP(C385,merchants!$A$1:$D$41,2,0),"Merchant not found")</f>
        <v>Merchant_027</v>
      </c>
      <c r="K385" s="6" t="str">
        <f>_xlfn.IFNA(VLOOKUP(C385,merchants!$A$1:$D$41,3,0),"Merchant not found")</f>
        <v>ecommerce</v>
      </c>
      <c r="L385" s="6" t="str">
        <f>_xlfn.IFNA(VLOOKUP(C385,merchants!$A$1:$D$41,4,0),"Merchant not found")</f>
        <v>North</v>
      </c>
      <c r="M385" s="9">
        <f t="shared" si="11"/>
        <v>9.9800000000000004</v>
      </c>
      <c r="N385" s="6" t="str">
        <f>IF(AND(L385&lt;&gt;"East",SUMIFS(merchant_workbook_pivot_table!$D$2:$D$444,merchant_workbook_pivot_table!$C$2:$C$444,E385,merchant_workbook_pivot_table!$B$2:$B$444,J385)&gt;5000),"High-Value Merchant Day",IF(AND(L385&lt;&gt;"East",SUMIFS(merchant_workbook_pivot_table!$D$2:$D$444,merchant_workbook_pivot_table!$C$2:$C$444,E385,merchant_workbook_pivot_table!$B$2:$B$444,J385)&gt;1000),"Mid-Value Merchant Day",""))</f>
        <v/>
      </c>
    </row>
    <row r="386">
      <c r="A386" s="3" t="s">
        <v>453</v>
      </c>
      <c r="B386" s="2">
        <v>349</v>
      </c>
      <c r="C386" s="2">
        <v>9</v>
      </c>
      <c r="D386" s="8" t="s">
        <v>1004</v>
      </c>
      <c r="E386" s="6" t="str">
        <f t="shared" ref="E386:E449" si="12">LEFT(D386,10)</f>
        <v>2026-01-23</v>
      </c>
      <c r="F386" s="2">
        <v>499</v>
      </c>
      <c r="G386" s="3" t="s">
        <v>63</v>
      </c>
      <c r="H386" s="3" t="s">
        <v>64</v>
      </c>
      <c r="I386" s="2">
        <v>0</v>
      </c>
      <c r="J386" s="6" t="str">
        <f>_xlfn.IFNA(VLOOKUP(C386,merchants!$A$1:$D$41,2,0),"Merchant not found")</f>
        <v>Merchant_009</v>
      </c>
      <c r="K386" s="6" t="str">
        <f>_xlfn.IFNA(VLOOKUP(C386,merchants!$A$1:$D$41,3,0),"Merchant not found")</f>
        <v>ecommerce</v>
      </c>
      <c r="L386" s="6" t="str">
        <f>_xlfn.IFNA(VLOOKUP(C386,merchants!$A$1:$D$41,4,0),"Merchant not found")</f>
        <v>North</v>
      </c>
      <c r="M386" s="9">
        <f t="shared" ref="M386:M449" si="13">F386*(HLOOKUP(G386,$Q$1:$T$2,2,0))</f>
        <v>7.4849999999999994</v>
      </c>
      <c r="N386" s="6" t="str">
        <f>IF(AND(L386&lt;&gt;"East",SUMIFS(merchant_workbook_pivot_table!$D$2:$D$444,merchant_workbook_pivot_table!$C$2:$C$444,E386,merchant_workbook_pivot_table!$B$2:$B$444,J386)&gt;5000),"High-Value Merchant Day",IF(AND(L386&lt;&gt;"East",SUMIFS(merchant_workbook_pivot_table!$D$2:$D$444,merchant_workbook_pivot_table!$C$2:$C$444,E386,merchant_workbook_pivot_table!$B$2:$B$444,J386)&gt;1000),"Mid-Value Merchant Day",""))</f>
        <v/>
      </c>
    </row>
    <row r="387">
      <c r="A387" s="3" t="s">
        <v>454</v>
      </c>
      <c r="B387" s="2">
        <v>335</v>
      </c>
      <c r="C387" s="2">
        <v>31</v>
      </c>
      <c r="D387" s="8" t="s">
        <v>1005</v>
      </c>
      <c r="E387" s="6" t="str">
        <f t="shared" si="12"/>
        <v>2026-01-18</v>
      </c>
      <c r="F387" s="2">
        <v>49</v>
      </c>
      <c r="G387" s="3" t="s">
        <v>78</v>
      </c>
      <c r="H387" s="3" t="s">
        <v>64</v>
      </c>
      <c r="I387" s="2">
        <v>61</v>
      </c>
      <c r="J387" s="6" t="str">
        <f>_xlfn.IFNA(VLOOKUP(C387,merchants!$A$1:$D$41,2,0),"Merchant not found")</f>
        <v>Merchant_031</v>
      </c>
      <c r="K387" s="6" t="str">
        <f>_xlfn.IFNA(VLOOKUP(C387,merchants!$A$1:$D$41,3,0),"Merchant not found")</f>
        <v>bill_payment</v>
      </c>
      <c r="L387" s="6" t="str">
        <f>_xlfn.IFNA(VLOOKUP(C387,merchants!$A$1:$D$41,4,0),"Merchant not found")</f>
        <v>East</v>
      </c>
      <c r="M387" s="9">
        <f t="shared" si="13"/>
        <v>0.97999999999999998</v>
      </c>
      <c r="N387" s="6" t="str">
        <f>IF(AND(L387&lt;&gt;"East",SUMIFS(merchant_workbook_pivot_table!$D$2:$D$444,merchant_workbook_pivot_table!$C$2:$C$444,E387,merchant_workbook_pivot_table!$B$2:$B$444,J387)&gt;5000),"High-Value Merchant Day",IF(AND(L387&lt;&gt;"East",SUMIFS(merchant_workbook_pivot_table!$D$2:$D$444,merchant_workbook_pivot_table!$C$2:$C$444,E387,merchant_workbook_pivot_table!$B$2:$B$444,J387)&gt;1000),"Mid-Value Merchant Day",""))</f>
        <v/>
      </c>
    </row>
    <row r="388">
      <c r="A388" s="3" t="s">
        <v>455</v>
      </c>
      <c r="B388" s="2">
        <v>148</v>
      </c>
      <c r="C388" s="2">
        <v>21</v>
      </c>
      <c r="D388" s="8" t="s">
        <v>1006</v>
      </c>
      <c r="E388" s="6" t="str">
        <f t="shared" si="12"/>
        <v>2026-01-21</v>
      </c>
      <c r="F388" s="2">
        <v>49</v>
      </c>
      <c r="G388" s="3" t="s">
        <v>78</v>
      </c>
      <c r="H388" s="3" t="s">
        <v>64</v>
      </c>
      <c r="I388" s="2">
        <v>36</v>
      </c>
      <c r="J388" s="6" t="str">
        <f>_xlfn.IFNA(VLOOKUP(C388,merchants!$A$1:$D$41,2,0),"Merchant not found")</f>
        <v>Merchant_021</v>
      </c>
      <c r="K388" s="6" t="str">
        <f>_xlfn.IFNA(VLOOKUP(C388,merchants!$A$1:$D$41,3,0),"Merchant not found")</f>
        <v>food_delivery</v>
      </c>
      <c r="L388" s="6" t="str">
        <f>_xlfn.IFNA(VLOOKUP(C388,merchants!$A$1:$D$41,4,0),"Merchant not found")</f>
        <v>East</v>
      </c>
      <c r="M388" s="9">
        <f t="shared" si="13"/>
        <v>0.97999999999999998</v>
      </c>
      <c r="N388" s="6" t="str">
        <f>IF(AND(L388&lt;&gt;"East",SUMIFS(merchant_workbook_pivot_table!$D$2:$D$444,merchant_workbook_pivot_table!$C$2:$C$444,E388,merchant_workbook_pivot_table!$B$2:$B$444,J388)&gt;5000),"High-Value Merchant Day",IF(AND(L388&lt;&gt;"East",SUMIFS(merchant_workbook_pivot_table!$D$2:$D$444,merchant_workbook_pivot_table!$C$2:$C$444,E388,merchant_workbook_pivot_table!$B$2:$B$444,J388)&gt;1000),"Mid-Value Merchant Day",""))</f>
        <v/>
      </c>
    </row>
    <row r="389">
      <c r="A389" s="3" t="s">
        <v>456</v>
      </c>
      <c r="B389" s="2">
        <v>46</v>
      </c>
      <c r="C389" s="2">
        <v>37</v>
      </c>
      <c r="D389" s="8" t="s">
        <v>1007</v>
      </c>
      <c r="E389" s="6" t="str">
        <f t="shared" si="12"/>
        <v>2026-01-21</v>
      </c>
      <c r="F389" s="2">
        <v>99</v>
      </c>
      <c r="G389" s="3" t="s">
        <v>63</v>
      </c>
      <c r="H389" s="3" t="s">
        <v>64</v>
      </c>
      <c r="I389" s="2">
        <v>29</v>
      </c>
      <c r="J389" s="6" t="str">
        <f>_xlfn.IFNA(VLOOKUP(C389,merchants!$A$1:$D$41,2,0),"Merchant not found")</f>
        <v>Merchant_037</v>
      </c>
      <c r="K389" s="6" t="str">
        <f>_xlfn.IFNA(VLOOKUP(C389,merchants!$A$1:$D$41,3,0),"Merchant not found")</f>
        <v>entertainment</v>
      </c>
      <c r="L389" s="6" t="str">
        <f>_xlfn.IFNA(VLOOKUP(C389,merchants!$A$1:$D$41,4,0),"Merchant not found")</f>
        <v>South</v>
      </c>
      <c r="M389" s="9">
        <f t="shared" si="13"/>
        <v>1.4849999999999999</v>
      </c>
      <c r="N389" s="6" t="str">
        <f>IF(AND(L389&lt;&gt;"East",SUMIFS(merchant_workbook_pivot_table!$D$2:$D$444,merchant_workbook_pivot_table!$C$2:$C$444,E389,merchant_workbook_pivot_table!$B$2:$B$444,J389)&gt;5000),"High-Value Merchant Day",IF(AND(L389&lt;&gt;"East",SUMIFS(merchant_workbook_pivot_table!$D$2:$D$444,merchant_workbook_pivot_table!$C$2:$C$444,E389,merchant_workbook_pivot_table!$B$2:$B$444,J389)&gt;1000),"Mid-Value Merchant Day",""))</f>
        <v/>
      </c>
    </row>
    <row r="390">
      <c r="A390" s="3" t="s">
        <v>457</v>
      </c>
      <c r="B390" s="2">
        <v>20</v>
      </c>
      <c r="C390" s="2">
        <v>12</v>
      </c>
      <c r="D390" s="8" t="s">
        <v>1008</v>
      </c>
      <c r="E390" s="6" t="str">
        <f t="shared" si="12"/>
        <v>2026-01-18</v>
      </c>
      <c r="F390" s="2">
        <v>799</v>
      </c>
      <c r="G390" s="3" t="s">
        <v>78</v>
      </c>
      <c r="H390" s="3" t="s">
        <v>64</v>
      </c>
      <c r="I390" s="2">
        <v>53</v>
      </c>
      <c r="J390" s="6" t="str">
        <f>_xlfn.IFNA(VLOOKUP(C390,merchants!$A$1:$D$41,2,0),"Merchant not found")</f>
        <v>Merchant_012</v>
      </c>
      <c r="K390" s="6" t="str">
        <f>_xlfn.IFNA(VLOOKUP(C390,merchants!$A$1:$D$41,3,0),"Merchant not found")</f>
        <v>ecommerce</v>
      </c>
      <c r="L390" s="6" t="str">
        <f>_xlfn.IFNA(VLOOKUP(C390,merchants!$A$1:$D$41,4,0),"Merchant not found")</f>
        <v>East</v>
      </c>
      <c r="M390" s="9">
        <f t="shared" si="13"/>
        <v>15.98</v>
      </c>
      <c r="N390" s="6" t="str">
        <f>IF(AND(L390&lt;&gt;"East",SUMIFS(merchant_workbook_pivot_table!$D$2:$D$444,merchant_workbook_pivot_table!$C$2:$C$444,E390,merchant_workbook_pivot_table!$B$2:$B$444,J390)&gt;5000),"High-Value Merchant Day",IF(AND(L390&lt;&gt;"East",SUMIFS(merchant_workbook_pivot_table!$D$2:$D$444,merchant_workbook_pivot_table!$C$2:$C$444,E390,merchant_workbook_pivot_table!$B$2:$B$444,J390)&gt;1000),"Mid-Value Merchant Day",""))</f>
        <v/>
      </c>
    </row>
    <row r="391">
      <c r="A391" s="3" t="s">
        <v>458</v>
      </c>
      <c r="B391" s="2">
        <v>19</v>
      </c>
      <c r="C391" s="2">
        <v>26</v>
      </c>
      <c r="D391" s="8" t="s">
        <v>1009</v>
      </c>
      <c r="E391" s="6" t="str">
        <f t="shared" si="12"/>
        <v>2026-01-29</v>
      </c>
      <c r="F391" s="2">
        <v>49</v>
      </c>
      <c r="G391" s="3" t="s">
        <v>66</v>
      </c>
      <c r="H391" s="3" t="s">
        <v>64</v>
      </c>
      <c r="I391" s="2">
        <v>100</v>
      </c>
      <c r="J391" s="6" t="str">
        <f>_xlfn.IFNA(VLOOKUP(C391,merchants!$A$1:$D$41,2,0),"Merchant not found")</f>
        <v>Merchant_026</v>
      </c>
      <c r="K391" s="6" t="str">
        <f>_xlfn.IFNA(VLOOKUP(C391,merchants!$A$1:$D$41,3,0),"Merchant not found")</f>
        <v>food_delivery</v>
      </c>
      <c r="L391" s="6" t="str">
        <f>_xlfn.IFNA(VLOOKUP(C391,merchants!$A$1:$D$41,4,0),"Merchant not found")</f>
        <v>East</v>
      </c>
      <c r="M391" s="9">
        <f t="shared" si="13"/>
        <v>0</v>
      </c>
      <c r="N391" s="6" t="str">
        <f>IF(AND(L391&lt;&gt;"East",SUMIFS(merchant_workbook_pivot_table!$D$2:$D$444,merchant_workbook_pivot_table!$C$2:$C$444,E391,merchant_workbook_pivot_table!$B$2:$B$444,J391)&gt;5000),"High-Value Merchant Day",IF(AND(L391&lt;&gt;"East",SUMIFS(merchant_workbook_pivot_table!$D$2:$D$444,merchant_workbook_pivot_table!$C$2:$C$444,E391,merchant_workbook_pivot_table!$B$2:$B$444,J391)&gt;1000),"Mid-Value Merchant Day",""))</f>
        <v/>
      </c>
    </row>
    <row r="392">
      <c r="A392" s="3" t="s">
        <v>459</v>
      </c>
      <c r="B392" s="2">
        <v>149</v>
      </c>
      <c r="C392" s="2">
        <v>3</v>
      </c>
      <c r="D392" s="8" t="s">
        <v>1010</v>
      </c>
      <c r="E392" s="6" t="str">
        <f t="shared" si="12"/>
        <v>2026-01-16</v>
      </c>
      <c r="F392" s="2">
        <v>4999</v>
      </c>
      <c r="G392" s="3" t="s">
        <v>63</v>
      </c>
      <c r="H392" s="3" t="s">
        <v>64</v>
      </c>
      <c r="I392" s="2">
        <v>1</v>
      </c>
      <c r="J392" s="6" t="str">
        <f>_xlfn.IFNA(VLOOKUP(C392,merchants!$A$1:$D$41,2,0),"Merchant not found")</f>
        <v>Merchant_003</v>
      </c>
      <c r="K392" s="6" t="str">
        <f>_xlfn.IFNA(VLOOKUP(C392,merchants!$A$1:$D$41,3,0),"Merchant not found")</f>
        <v>grocery</v>
      </c>
      <c r="L392" s="6" t="str">
        <f>_xlfn.IFNA(VLOOKUP(C392,merchants!$A$1:$D$41,4,0),"Merchant not found")</f>
        <v>East</v>
      </c>
      <c r="M392" s="9">
        <f t="shared" si="13"/>
        <v>74.984999999999999</v>
      </c>
      <c r="N392" s="6" t="str">
        <f>IF(AND(L392&lt;&gt;"East",SUMIFS(merchant_workbook_pivot_table!$D$2:$D$444,merchant_workbook_pivot_table!$C$2:$C$444,E392,merchant_workbook_pivot_table!$B$2:$B$444,J392)&gt;5000),"High-Value Merchant Day",IF(AND(L392&lt;&gt;"East",SUMIFS(merchant_workbook_pivot_table!$D$2:$D$444,merchant_workbook_pivot_table!$C$2:$C$444,E392,merchant_workbook_pivot_table!$B$2:$B$444,J392)&gt;1000),"Mid-Value Merchant Day",""))</f>
        <v/>
      </c>
    </row>
    <row r="393">
      <c r="A393" s="3" t="s">
        <v>460</v>
      </c>
      <c r="B393" s="2">
        <v>55</v>
      </c>
      <c r="C393" s="2">
        <v>22</v>
      </c>
      <c r="D393" s="8" t="s">
        <v>1011</v>
      </c>
      <c r="E393" s="6" t="str">
        <f t="shared" si="12"/>
        <v>2026-01-10</v>
      </c>
      <c r="F393" s="2">
        <v>499</v>
      </c>
      <c r="G393" s="3" t="s">
        <v>66</v>
      </c>
      <c r="H393" s="3" t="s">
        <v>64</v>
      </c>
      <c r="I393" s="2">
        <v>36</v>
      </c>
      <c r="J393" s="6" t="str">
        <f>_xlfn.IFNA(VLOOKUP(C393,merchants!$A$1:$D$41,2,0),"Merchant not found")</f>
        <v>Merchant_022</v>
      </c>
      <c r="K393" s="6" t="str">
        <f>_xlfn.IFNA(VLOOKUP(C393,merchants!$A$1:$D$41,3,0),"Merchant not found")</f>
        <v>travel</v>
      </c>
      <c r="L393" s="6" t="str">
        <f>_xlfn.IFNA(VLOOKUP(C393,merchants!$A$1:$D$41,4,0),"Merchant not found")</f>
        <v>South</v>
      </c>
      <c r="M393" s="9">
        <f t="shared" si="13"/>
        <v>0</v>
      </c>
      <c r="N393" s="6" t="str">
        <f>IF(AND(L393&lt;&gt;"East",SUMIFS(merchant_workbook_pivot_table!$D$2:$D$444,merchant_workbook_pivot_table!$C$2:$C$444,E393,merchant_workbook_pivot_table!$B$2:$B$444,J393)&gt;5000),"High-Value Merchant Day",IF(AND(L393&lt;&gt;"East",SUMIFS(merchant_workbook_pivot_table!$D$2:$D$444,merchant_workbook_pivot_table!$C$2:$C$444,E393,merchant_workbook_pivot_table!$B$2:$B$444,J393)&gt;1000),"Mid-Value Merchant Day",""))</f>
        <v/>
      </c>
    </row>
    <row r="394">
      <c r="A394" s="3" t="s">
        <v>461</v>
      </c>
      <c r="B394" s="2">
        <v>269</v>
      </c>
      <c r="C394" s="2">
        <v>32</v>
      </c>
      <c r="D394" s="8" t="s">
        <v>1012</v>
      </c>
      <c r="E394" s="6" t="str">
        <f t="shared" si="12"/>
        <v>2026-01-15</v>
      </c>
      <c r="F394" s="2">
        <v>49</v>
      </c>
      <c r="G394" s="3" t="s">
        <v>78</v>
      </c>
      <c r="H394" s="3" t="s">
        <v>64</v>
      </c>
      <c r="I394" s="2">
        <v>17</v>
      </c>
      <c r="J394" s="6" t="str">
        <f>_xlfn.IFNA(VLOOKUP(C394,merchants!$A$1:$D$41,2,0),"Merchant not found")</f>
        <v>Merchant_032</v>
      </c>
      <c r="K394" s="6" t="str">
        <f>_xlfn.IFNA(VLOOKUP(C394,merchants!$A$1:$D$41,3,0),"Merchant not found")</f>
        <v>food_delivery</v>
      </c>
      <c r="L394" s="6" t="str">
        <f>_xlfn.IFNA(VLOOKUP(C394,merchants!$A$1:$D$41,4,0),"Merchant not found")</f>
        <v>West</v>
      </c>
      <c r="M394" s="9">
        <f t="shared" si="13"/>
        <v>0.97999999999999998</v>
      </c>
      <c r="N394" s="6" t="str">
        <f>IF(AND(L394&lt;&gt;"East",SUMIFS(merchant_workbook_pivot_table!$D$2:$D$444,merchant_workbook_pivot_table!$C$2:$C$444,E394,merchant_workbook_pivot_table!$B$2:$B$444,J394)&gt;5000),"High-Value Merchant Day",IF(AND(L394&lt;&gt;"East",SUMIFS(merchant_workbook_pivot_table!$D$2:$D$444,merchant_workbook_pivot_table!$C$2:$C$444,E394,merchant_workbook_pivot_table!$B$2:$B$444,J394)&gt;1000),"Mid-Value Merchant Day",""))</f>
        <v/>
      </c>
    </row>
    <row r="395">
      <c r="A395" s="3" t="s">
        <v>462</v>
      </c>
      <c r="B395" s="2">
        <v>140</v>
      </c>
      <c r="C395" s="2">
        <v>13</v>
      </c>
      <c r="D395" s="8" t="s">
        <v>1013</v>
      </c>
      <c r="E395" s="6" t="str">
        <f t="shared" si="12"/>
        <v>2026-01-28</v>
      </c>
      <c r="F395" s="2">
        <v>2999</v>
      </c>
      <c r="G395" s="3" t="s">
        <v>66</v>
      </c>
      <c r="H395" s="3" t="s">
        <v>64</v>
      </c>
      <c r="I395" s="2">
        <v>14</v>
      </c>
      <c r="J395" s="6" t="str">
        <f>_xlfn.IFNA(VLOOKUP(C395,merchants!$A$1:$D$41,2,0),"Merchant not found")</f>
        <v>Merchant_013</v>
      </c>
      <c r="K395" s="6" t="str">
        <f>_xlfn.IFNA(VLOOKUP(C395,merchants!$A$1:$D$41,3,0),"Merchant not found")</f>
        <v>travel</v>
      </c>
      <c r="L395" s="6" t="str">
        <f>_xlfn.IFNA(VLOOKUP(C395,merchants!$A$1:$D$41,4,0),"Merchant not found")</f>
        <v>East</v>
      </c>
      <c r="M395" s="9">
        <f t="shared" si="13"/>
        <v>0</v>
      </c>
      <c r="N395" s="6" t="str">
        <f>IF(AND(L395&lt;&gt;"East",SUMIFS(merchant_workbook_pivot_table!$D$2:$D$444,merchant_workbook_pivot_table!$C$2:$C$444,E395,merchant_workbook_pivot_table!$B$2:$B$444,J395)&gt;5000),"High-Value Merchant Day",IF(AND(L395&lt;&gt;"East",SUMIFS(merchant_workbook_pivot_table!$D$2:$D$444,merchant_workbook_pivot_table!$C$2:$C$444,E395,merchant_workbook_pivot_table!$B$2:$B$444,J395)&gt;1000),"Mid-Value Merchant Day",""))</f>
        <v/>
      </c>
    </row>
    <row r="396">
      <c r="A396" s="3" t="s">
        <v>463</v>
      </c>
      <c r="B396" s="2">
        <v>235</v>
      </c>
      <c r="C396" s="2">
        <v>17</v>
      </c>
      <c r="D396" s="8" t="s">
        <v>1014</v>
      </c>
      <c r="E396" s="6" t="str">
        <f t="shared" si="12"/>
        <v>2026-01-11</v>
      </c>
      <c r="F396" s="2">
        <v>2999</v>
      </c>
      <c r="G396" s="3" t="s">
        <v>66</v>
      </c>
      <c r="H396" s="3" t="s">
        <v>64</v>
      </c>
      <c r="I396" s="2">
        <v>91</v>
      </c>
      <c r="J396" s="6" t="str">
        <f>_xlfn.IFNA(VLOOKUP(C396,merchants!$A$1:$D$41,2,0),"Merchant not found")</f>
        <v>Merchant_017</v>
      </c>
      <c r="K396" s="6" t="str">
        <f>_xlfn.IFNA(VLOOKUP(C396,merchants!$A$1:$D$41,3,0),"Merchant not found")</f>
        <v>grocery</v>
      </c>
      <c r="L396" s="6" t="str">
        <f>_xlfn.IFNA(VLOOKUP(C396,merchants!$A$1:$D$41,4,0),"Merchant not found")</f>
        <v>North</v>
      </c>
      <c r="M396" s="9">
        <f t="shared" si="13"/>
        <v>0</v>
      </c>
      <c r="N396" s="6" t="str">
        <f>IF(AND(L396&lt;&gt;"East",SUMIFS(merchant_workbook_pivot_table!$D$2:$D$444,merchant_workbook_pivot_table!$C$2:$C$444,E396,merchant_workbook_pivot_table!$B$2:$B$444,J396)&gt;5000),"High-Value Merchant Day",IF(AND(L396&lt;&gt;"East",SUMIFS(merchant_workbook_pivot_table!$D$2:$D$444,merchant_workbook_pivot_table!$C$2:$C$444,E396,merchant_workbook_pivot_table!$B$2:$B$444,J396)&gt;1000),"Mid-Value Merchant Day",""))</f>
        <v xml:space="preserve">High-Value Merchant Day</v>
      </c>
    </row>
    <row r="397">
      <c r="A397" s="3" t="s">
        <v>464</v>
      </c>
      <c r="B397" s="2">
        <v>173</v>
      </c>
      <c r="C397" s="2">
        <v>19</v>
      </c>
      <c r="D397" s="8" t="s">
        <v>1015</v>
      </c>
      <c r="E397" s="6" t="str">
        <f t="shared" si="12"/>
        <v>2026-01-06</v>
      </c>
      <c r="F397" s="2">
        <v>499</v>
      </c>
      <c r="G397" s="3" t="s">
        <v>66</v>
      </c>
      <c r="H397" s="3" t="s">
        <v>79</v>
      </c>
      <c r="I397" s="2">
        <v>72</v>
      </c>
      <c r="J397" s="6" t="str">
        <f>_xlfn.IFNA(VLOOKUP(C397,merchants!$A$1:$D$41,2,0),"Merchant not found")</f>
        <v>Merchant_019</v>
      </c>
      <c r="K397" s="6" t="str">
        <f>_xlfn.IFNA(VLOOKUP(C397,merchants!$A$1:$D$41,3,0),"Merchant not found")</f>
        <v>grocery</v>
      </c>
      <c r="L397" s="6" t="str">
        <f>_xlfn.IFNA(VLOOKUP(C397,merchants!$A$1:$D$41,4,0),"Merchant not found")</f>
        <v>North</v>
      </c>
      <c r="M397" s="9">
        <f t="shared" si="13"/>
        <v>0</v>
      </c>
      <c r="N397" s="6" t="str">
        <f>IF(AND(L397&lt;&gt;"East",SUMIFS(merchant_workbook_pivot_table!$D$2:$D$444,merchant_workbook_pivot_table!$C$2:$C$444,E397,merchant_workbook_pivot_table!$B$2:$B$444,J397)&gt;5000),"High-Value Merchant Day",IF(AND(L397&lt;&gt;"East",SUMIFS(merchant_workbook_pivot_table!$D$2:$D$444,merchant_workbook_pivot_table!$C$2:$C$444,E397,merchant_workbook_pivot_table!$B$2:$B$444,J397)&gt;1000),"Mid-Value Merchant Day",""))</f>
        <v/>
      </c>
    </row>
    <row r="398">
      <c r="A398" s="3" t="s">
        <v>465</v>
      </c>
      <c r="B398" s="2">
        <v>313</v>
      </c>
      <c r="C398" s="2">
        <v>26</v>
      </c>
      <c r="D398" s="8" t="s">
        <v>1016</v>
      </c>
      <c r="E398" s="6" t="str">
        <f t="shared" si="12"/>
        <v>2026-01-22</v>
      </c>
      <c r="F398" s="2">
        <v>499</v>
      </c>
      <c r="G398" s="3" t="s">
        <v>66</v>
      </c>
      <c r="H398" s="3" t="s">
        <v>64</v>
      </c>
      <c r="I398" s="2">
        <v>54</v>
      </c>
      <c r="J398" s="6" t="str">
        <f>_xlfn.IFNA(VLOOKUP(C398,merchants!$A$1:$D$41,2,0),"Merchant not found")</f>
        <v>Merchant_026</v>
      </c>
      <c r="K398" s="6" t="str">
        <f>_xlfn.IFNA(VLOOKUP(C398,merchants!$A$1:$D$41,3,0),"Merchant not found")</f>
        <v>food_delivery</v>
      </c>
      <c r="L398" s="6" t="str">
        <f>_xlfn.IFNA(VLOOKUP(C398,merchants!$A$1:$D$41,4,0),"Merchant not found")</f>
        <v>East</v>
      </c>
      <c r="M398" s="9">
        <f t="shared" si="13"/>
        <v>0</v>
      </c>
      <c r="N398" s="6" t="str">
        <f>IF(AND(L398&lt;&gt;"East",SUMIFS(merchant_workbook_pivot_table!$D$2:$D$444,merchant_workbook_pivot_table!$C$2:$C$444,E398,merchant_workbook_pivot_table!$B$2:$B$444,J398)&gt;5000),"High-Value Merchant Day",IF(AND(L398&lt;&gt;"East",SUMIFS(merchant_workbook_pivot_table!$D$2:$D$444,merchant_workbook_pivot_table!$C$2:$C$444,E398,merchant_workbook_pivot_table!$B$2:$B$444,J398)&gt;1000),"Mid-Value Merchant Day",""))</f>
        <v/>
      </c>
    </row>
    <row r="399">
      <c r="A399" s="3" t="s">
        <v>466</v>
      </c>
      <c r="B399" s="2">
        <v>206</v>
      </c>
      <c r="C399" s="2">
        <v>7</v>
      </c>
      <c r="D399" s="8" t="s">
        <v>1017</v>
      </c>
      <c r="E399" s="6" t="str">
        <f t="shared" si="12"/>
        <v>2026-01-17</v>
      </c>
      <c r="F399" s="2">
        <v>149</v>
      </c>
      <c r="G399" s="3" t="s">
        <v>63</v>
      </c>
      <c r="H399" s="3" t="s">
        <v>64</v>
      </c>
      <c r="I399" s="2">
        <v>23</v>
      </c>
      <c r="J399" s="6" t="str">
        <f>_xlfn.IFNA(VLOOKUP(C399,merchants!$A$1:$D$41,2,0),"Merchant not found")</f>
        <v>Merchant_007</v>
      </c>
      <c r="K399" s="6" t="str">
        <f>_xlfn.IFNA(VLOOKUP(C399,merchants!$A$1:$D$41,3,0),"Merchant not found")</f>
        <v>food_delivery</v>
      </c>
      <c r="L399" s="6" t="str">
        <f>_xlfn.IFNA(VLOOKUP(C399,merchants!$A$1:$D$41,4,0),"Merchant not found")</f>
        <v>East</v>
      </c>
      <c r="M399" s="9">
        <f t="shared" si="13"/>
        <v>2.2349999999999999</v>
      </c>
      <c r="N399" s="6" t="str">
        <f>IF(AND(L399&lt;&gt;"East",SUMIFS(merchant_workbook_pivot_table!$D$2:$D$444,merchant_workbook_pivot_table!$C$2:$C$444,E399,merchant_workbook_pivot_table!$B$2:$B$444,J399)&gt;5000),"High-Value Merchant Day",IF(AND(L399&lt;&gt;"East",SUMIFS(merchant_workbook_pivot_table!$D$2:$D$444,merchant_workbook_pivot_table!$C$2:$C$444,E399,merchant_workbook_pivot_table!$B$2:$B$444,J399)&gt;1000),"Mid-Value Merchant Day",""))</f>
        <v/>
      </c>
    </row>
    <row r="400">
      <c r="A400" s="3" t="s">
        <v>467</v>
      </c>
      <c r="B400" s="2">
        <v>128</v>
      </c>
      <c r="C400" s="2">
        <v>1</v>
      </c>
      <c r="D400" s="8" t="s">
        <v>1018</v>
      </c>
      <c r="E400" s="6" t="str">
        <f t="shared" si="12"/>
        <v>2026-01-05</v>
      </c>
      <c r="F400" s="2">
        <v>1499</v>
      </c>
      <c r="G400" s="3" t="s">
        <v>69</v>
      </c>
      <c r="H400" s="3" t="s">
        <v>64</v>
      </c>
      <c r="I400" s="2">
        <v>33</v>
      </c>
      <c r="J400" s="6" t="str">
        <f>_xlfn.IFNA(VLOOKUP(C400,merchants!$A$1:$D$41,2,0),"Merchant not found")</f>
        <v>Merchant_001</v>
      </c>
      <c r="K400" s="6" t="str">
        <f>_xlfn.IFNA(VLOOKUP(C400,merchants!$A$1:$D$41,3,0),"Merchant not found")</f>
        <v>ecommerce</v>
      </c>
      <c r="L400" s="6" t="str">
        <f>_xlfn.IFNA(VLOOKUP(C400,merchants!$A$1:$D$41,4,0),"Merchant not found")</f>
        <v>South</v>
      </c>
      <c r="M400" s="9">
        <f t="shared" si="13"/>
        <v>14.99</v>
      </c>
      <c r="N400" s="6" t="str">
        <f>IF(AND(L400&lt;&gt;"East",SUMIFS(merchant_workbook_pivot_table!$D$2:$D$444,merchant_workbook_pivot_table!$C$2:$C$444,E400,merchant_workbook_pivot_table!$B$2:$B$444,J400)&gt;5000),"High-Value Merchant Day",IF(AND(L400&lt;&gt;"East",SUMIFS(merchant_workbook_pivot_table!$D$2:$D$444,merchant_workbook_pivot_table!$C$2:$C$444,E400,merchant_workbook_pivot_table!$B$2:$B$444,J400)&gt;1000),"Mid-Value Merchant Day",""))</f>
        <v xml:space="preserve">Mid-Value Merchant Day</v>
      </c>
    </row>
    <row r="401">
      <c r="A401" s="3" t="s">
        <v>468</v>
      </c>
      <c r="B401" s="2">
        <v>137</v>
      </c>
      <c r="C401" s="2">
        <v>22</v>
      </c>
      <c r="D401" s="8" t="s">
        <v>1019</v>
      </c>
      <c r="E401" s="6" t="str">
        <f t="shared" si="12"/>
        <v>2026-01-13</v>
      </c>
      <c r="F401" s="2">
        <v>799</v>
      </c>
      <c r="G401" s="3" t="s">
        <v>66</v>
      </c>
      <c r="H401" s="3" t="s">
        <v>79</v>
      </c>
      <c r="I401" s="2">
        <v>38</v>
      </c>
      <c r="J401" s="6" t="str">
        <f>_xlfn.IFNA(VLOOKUP(C401,merchants!$A$1:$D$41,2,0),"Merchant not found")</f>
        <v>Merchant_022</v>
      </c>
      <c r="K401" s="6" t="str">
        <f>_xlfn.IFNA(VLOOKUP(C401,merchants!$A$1:$D$41,3,0),"Merchant not found")</f>
        <v>travel</v>
      </c>
      <c r="L401" s="6" t="str">
        <f>_xlfn.IFNA(VLOOKUP(C401,merchants!$A$1:$D$41,4,0),"Merchant not found")</f>
        <v>South</v>
      </c>
      <c r="M401" s="9">
        <f t="shared" si="13"/>
        <v>0</v>
      </c>
      <c r="N401" s="6" t="str">
        <f>IF(AND(L401&lt;&gt;"East",SUMIFS(merchant_workbook_pivot_table!$D$2:$D$444,merchant_workbook_pivot_table!$C$2:$C$444,E401,merchant_workbook_pivot_table!$B$2:$B$444,J401)&gt;5000),"High-Value Merchant Day",IF(AND(L401&lt;&gt;"East",SUMIFS(merchant_workbook_pivot_table!$D$2:$D$444,merchant_workbook_pivot_table!$C$2:$C$444,E401,merchant_workbook_pivot_table!$B$2:$B$444,J401)&gt;1000),"Mid-Value Merchant Day",""))</f>
        <v xml:space="preserve">High-Value Merchant Day</v>
      </c>
    </row>
    <row r="402">
      <c r="A402" s="3" t="s">
        <v>469</v>
      </c>
      <c r="B402" s="2">
        <v>6</v>
      </c>
      <c r="C402" s="2">
        <v>17</v>
      </c>
      <c r="D402" s="8" t="s">
        <v>1020</v>
      </c>
      <c r="E402" s="6" t="str">
        <f t="shared" si="12"/>
        <v>2026-01-19</v>
      </c>
      <c r="F402" s="2">
        <v>49</v>
      </c>
      <c r="G402" s="3" t="s">
        <v>66</v>
      </c>
      <c r="H402" s="3" t="s">
        <v>64</v>
      </c>
      <c r="I402" s="2">
        <v>83</v>
      </c>
      <c r="J402" s="6" t="str">
        <f>_xlfn.IFNA(VLOOKUP(C402,merchants!$A$1:$D$41,2,0),"Merchant not found")</f>
        <v>Merchant_017</v>
      </c>
      <c r="K402" s="6" t="str">
        <f>_xlfn.IFNA(VLOOKUP(C402,merchants!$A$1:$D$41,3,0),"Merchant not found")</f>
        <v>grocery</v>
      </c>
      <c r="L402" s="6" t="str">
        <f>_xlfn.IFNA(VLOOKUP(C402,merchants!$A$1:$D$41,4,0),"Merchant not found")</f>
        <v>North</v>
      </c>
      <c r="M402" s="9">
        <f t="shared" si="13"/>
        <v>0</v>
      </c>
      <c r="N402" s="6" t="str">
        <f>IF(AND(L402&lt;&gt;"East",SUMIFS(merchant_workbook_pivot_table!$D$2:$D$444,merchant_workbook_pivot_table!$C$2:$C$444,E402,merchant_workbook_pivot_table!$B$2:$B$444,J402)&gt;5000),"High-Value Merchant Day",IF(AND(L402&lt;&gt;"East",SUMIFS(merchant_workbook_pivot_table!$D$2:$D$444,merchant_workbook_pivot_table!$C$2:$C$444,E402,merchant_workbook_pivot_table!$B$2:$B$444,J402)&gt;1000),"Mid-Value Merchant Day",""))</f>
        <v/>
      </c>
    </row>
    <row r="403">
      <c r="A403" s="3" t="s">
        <v>470</v>
      </c>
      <c r="B403" s="2">
        <v>32</v>
      </c>
      <c r="C403" s="2">
        <v>8</v>
      </c>
      <c r="D403" s="8" t="s">
        <v>1021</v>
      </c>
      <c r="E403" s="6" t="str">
        <f t="shared" si="12"/>
        <v>2026-01-12</v>
      </c>
      <c r="F403" s="2">
        <v>299</v>
      </c>
      <c r="G403" s="3" t="s">
        <v>78</v>
      </c>
      <c r="H403" s="3" t="s">
        <v>64</v>
      </c>
      <c r="I403" s="2">
        <v>59</v>
      </c>
      <c r="J403" s="6" t="str">
        <f>_xlfn.IFNA(VLOOKUP(C403,merchants!$A$1:$D$41,2,0),"Merchant not found")</f>
        <v>Merchant_008</v>
      </c>
      <c r="K403" s="6" t="str">
        <f>_xlfn.IFNA(VLOOKUP(C403,merchants!$A$1:$D$41,3,0),"Merchant not found")</f>
        <v>food_delivery</v>
      </c>
      <c r="L403" s="6" t="str">
        <f>_xlfn.IFNA(VLOOKUP(C403,merchants!$A$1:$D$41,4,0),"Merchant not found")</f>
        <v>North</v>
      </c>
      <c r="M403" s="9">
        <f t="shared" si="13"/>
        <v>5.9800000000000004</v>
      </c>
      <c r="N403" s="6" t="str">
        <f>IF(AND(L403&lt;&gt;"East",SUMIFS(merchant_workbook_pivot_table!$D$2:$D$444,merchant_workbook_pivot_table!$C$2:$C$444,E403,merchant_workbook_pivot_table!$B$2:$B$444,J403)&gt;5000),"High-Value Merchant Day",IF(AND(L403&lt;&gt;"East",SUMIFS(merchant_workbook_pivot_table!$D$2:$D$444,merchant_workbook_pivot_table!$C$2:$C$444,E403,merchant_workbook_pivot_table!$B$2:$B$444,J403)&gt;1000),"Mid-Value Merchant Day",""))</f>
        <v/>
      </c>
    </row>
    <row r="404">
      <c r="A404" s="3" t="s">
        <v>471</v>
      </c>
      <c r="B404" s="2">
        <v>258</v>
      </c>
      <c r="C404" s="2">
        <v>20</v>
      </c>
      <c r="D404" s="8" t="s">
        <v>1022</v>
      </c>
      <c r="E404" s="6" t="str">
        <f t="shared" si="12"/>
        <v>2026-01-10</v>
      </c>
      <c r="F404" s="2">
        <v>149</v>
      </c>
      <c r="G404" s="3" t="s">
        <v>66</v>
      </c>
      <c r="H404" s="3" t="s">
        <v>64</v>
      </c>
      <c r="I404" s="2">
        <v>88</v>
      </c>
      <c r="J404" s="6" t="str">
        <f>_xlfn.IFNA(VLOOKUP(C404,merchants!$A$1:$D$41,2,0),"Merchant not found")</f>
        <v>Merchant_020</v>
      </c>
      <c r="K404" s="6" t="str">
        <f>_xlfn.IFNA(VLOOKUP(C404,merchants!$A$1:$D$41,3,0),"Merchant not found")</f>
        <v>food_delivery</v>
      </c>
      <c r="L404" s="6" t="str">
        <f>_xlfn.IFNA(VLOOKUP(C404,merchants!$A$1:$D$41,4,0),"Merchant not found")</f>
        <v>East</v>
      </c>
      <c r="M404" s="9">
        <f t="shared" si="13"/>
        <v>0</v>
      </c>
      <c r="N404" s="6" t="str">
        <f>IF(AND(L404&lt;&gt;"East",SUMIFS(merchant_workbook_pivot_table!$D$2:$D$444,merchant_workbook_pivot_table!$C$2:$C$444,E404,merchant_workbook_pivot_table!$B$2:$B$444,J404)&gt;5000),"High-Value Merchant Day",IF(AND(L404&lt;&gt;"East",SUMIFS(merchant_workbook_pivot_table!$D$2:$D$444,merchant_workbook_pivot_table!$C$2:$C$444,E404,merchant_workbook_pivot_table!$B$2:$B$444,J404)&gt;1000),"Mid-Value Merchant Day",""))</f>
        <v/>
      </c>
    </row>
    <row r="405">
      <c r="A405" s="3" t="s">
        <v>472</v>
      </c>
      <c r="B405" s="2">
        <v>152</v>
      </c>
      <c r="C405" s="2">
        <v>24</v>
      </c>
      <c r="D405" s="8" t="s">
        <v>1023</v>
      </c>
      <c r="E405" s="6" t="str">
        <f t="shared" si="12"/>
        <v>2026-01-04</v>
      </c>
      <c r="F405" s="2">
        <v>149</v>
      </c>
      <c r="G405" s="3" t="s">
        <v>66</v>
      </c>
      <c r="H405" s="3" t="s">
        <v>92</v>
      </c>
      <c r="I405" s="2">
        <v>78</v>
      </c>
      <c r="J405" s="6" t="str">
        <f>_xlfn.IFNA(VLOOKUP(C405,merchants!$A$1:$D$41,2,0),"Merchant not found")</f>
        <v>Merchant_024</v>
      </c>
      <c r="K405" s="6" t="str">
        <f>_xlfn.IFNA(VLOOKUP(C405,merchants!$A$1:$D$41,3,0),"Merchant not found")</f>
        <v>grocery</v>
      </c>
      <c r="L405" s="6" t="str">
        <f>_xlfn.IFNA(VLOOKUP(C405,merchants!$A$1:$D$41,4,0),"Merchant not found")</f>
        <v>North</v>
      </c>
      <c r="M405" s="9">
        <f t="shared" si="13"/>
        <v>0</v>
      </c>
      <c r="N405" s="6" t="str">
        <f>IF(AND(L405&lt;&gt;"East",SUMIFS(merchant_workbook_pivot_table!$D$2:$D$444,merchant_workbook_pivot_table!$C$2:$C$444,E405,merchant_workbook_pivot_table!$B$2:$B$444,J405)&gt;5000),"High-Value Merchant Day",IF(AND(L405&lt;&gt;"East",SUMIFS(merchant_workbook_pivot_table!$D$2:$D$444,merchant_workbook_pivot_table!$C$2:$C$444,E405,merchant_workbook_pivot_table!$B$2:$B$444,J405)&gt;1000),"Mid-Value Merchant Day",""))</f>
        <v/>
      </c>
    </row>
    <row r="406">
      <c r="A406" s="3" t="s">
        <v>473</v>
      </c>
      <c r="B406" s="2">
        <v>245</v>
      </c>
      <c r="C406" s="2">
        <v>10</v>
      </c>
      <c r="D406" s="8" t="s">
        <v>1024</v>
      </c>
      <c r="E406" s="6" t="str">
        <f t="shared" si="12"/>
        <v>2026-01-08</v>
      </c>
      <c r="F406" s="2">
        <v>799</v>
      </c>
      <c r="G406" s="3" t="s">
        <v>63</v>
      </c>
      <c r="H406" s="3" t="s">
        <v>64</v>
      </c>
      <c r="I406" s="2">
        <v>58</v>
      </c>
      <c r="J406" s="6" t="str">
        <f>_xlfn.IFNA(VLOOKUP(C406,merchants!$A$1:$D$41,2,0),"Merchant not found")</f>
        <v>Merchant_010</v>
      </c>
      <c r="K406" s="6" t="str">
        <f>_xlfn.IFNA(VLOOKUP(C406,merchants!$A$1:$D$41,3,0),"Merchant not found")</f>
        <v>grocery</v>
      </c>
      <c r="L406" s="6" t="str">
        <f>_xlfn.IFNA(VLOOKUP(C406,merchants!$A$1:$D$41,4,0),"Merchant not found")</f>
        <v>West</v>
      </c>
      <c r="M406" s="9">
        <f t="shared" si="13"/>
        <v>11.984999999999999</v>
      </c>
      <c r="N406" s="6" t="str">
        <f>IF(AND(L406&lt;&gt;"East",SUMIFS(merchant_workbook_pivot_table!$D$2:$D$444,merchant_workbook_pivot_table!$C$2:$C$444,E406,merchant_workbook_pivot_table!$B$2:$B$444,J406)&gt;5000),"High-Value Merchant Day",IF(AND(L406&lt;&gt;"East",SUMIFS(merchant_workbook_pivot_table!$D$2:$D$444,merchant_workbook_pivot_table!$C$2:$C$444,E406,merchant_workbook_pivot_table!$B$2:$B$444,J406)&gt;1000),"Mid-Value Merchant Day",""))</f>
        <v/>
      </c>
    </row>
    <row r="407">
      <c r="A407" s="3" t="s">
        <v>474</v>
      </c>
      <c r="B407" s="2">
        <v>213</v>
      </c>
      <c r="C407" s="2">
        <v>36</v>
      </c>
      <c r="D407" s="8" t="s">
        <v>1025</v>
      </c>
      <c r="E407" s="6" t="str">
        <f t="shared" si="12"/>
        <v>2026-01-24</v>
      </c>
      <c r="F407" s="2">
        <v>49</v>
      </c>
      <c r="G407" s="3" t="s">
        <v>63</v>
      </c>
      <c r="H407" s="3" t="s">
        <v>64</v>
      </c>
      <c r="I407" s="2">
        <v>60</v>
      </c>
      <c r="J407" s="6" t="str">
        <f>_xlfn.IFNA(VLOOKUP(C407,merchants!$A$1:$D$41,2,0),"Merchant not found")</f>
        <v>Merchant_036</v>
      </c>
      <c r="K407" s="6" t="str">
        <f>_xlfn.IFNA(VLOOKUP(C407,merchants!$A$1:$D$41,3,0),"Merchant not found")</f>
        <v>entertainment</v>
      </c>
      <c r="L407" s="6" t="str">
        <f>_xlfn.IFNA(VLOOKUP(C407,merchants!$A$1:$D$41,4,0),"Merchant not found")</f>
        <v>East</v>
      </c>
      <c r="M407" s="9">
        <f t="shared" si="13"/>
        <v>0.73499999999999999</v>
      </c>
      <c r="N407" s="6" t="str">
        <f>IF(AND(L407&lt;&gt;"East",SUMIFS(merchant_workbook_pivot_table!$D$2:$D$444,merchant_workbook_pivot_table!$C$2:$C$444,E407,merchant_workbook_pivot_table!$B$2:$B$444,J407)&gt;5000),"High-Value Merchant Day",IF(AND(L407&lt;&gt;"East",SUMIFS(merchant_workbook_pivot_table!$D$2:$D$444,merchant_workbook_pivot_table!$C$2:$C$444,E407,merchant_workbook_pivot_table!$B$2:$B$444,J407)&gt;1000),"Mid-Value Merchant Day",""))</f>
        <v/>
      </c>
    </row>
    <row r="408">
      <c r="A408" s="3" t="s">
        <v>475</v>
      </c>
      <c r="B408" s="2">
        <v>341</v>
      </c>
      <c r="C408" s="2">
        <v>14</v>
      </c>
      <c r="D408" s="8" t="s">
        <v>1026</v>
      </c>
      <c r="E408" s="6" t="str">
        <f t="shared" si="12"/>
        <v>2026-01-25</v>
      </c>
      <c r="F408" s="2">
        <v>99</v>
      </c>
      <c r="G408" s="3" t="s">
        <v>69</v>
      </c>
      <c r="H408" s="3" t="s">
        <v>64</v>
      </c>
      <c r="I408" s="2">
        <v>97</v>
      </c>
      <c r="J408" s="6" t="str">
        <f>_xlfn.IFNA(VLOOKUP(C408,merchants!$A$1:$D$41,2,0),"Merchant not found")</f>
        <v>Merchant_014</v>
      </c>
      <c r="K408" s="6" t="str">
        <f>_xlfn.IFNA(VLOOKUP(C408,merchants!$A$1:$D$41,3,0),"Merchant not found")</f>
        <v>grocery</v>
      </c>
      <c r="L408" s="6" t="str">
        <f>_xlfn.IFNA(VLOOKUP(C408,merchants!$A$1:$D$41,4,0),"Merchant not found")</f>
        <v>East</v>
      </c>
      <c r="M408" s="9">
        <f t="shared" si="13"/>
        <v>0.98999999999999999</v>
      </c>
      <c r="N408" s="6" t="str">
        <f>IF(AND(L408&lt;&gt;"East",SUMIFS(merchant_workbook_pivot_table!$D$2:$D$444,merchant_workbook_pivot_table!$C$2:$C$444,E408,merchant_workbook_pivot_table!$B$2:$B$444,J408)&gt;5000),"High-Value Merchant Day",IF(AND(L408&lt;&gt;"East",SUMIFS(merchant_workbook_pivot_table!$D$2:$D$444,merchant_workbook_pivot_table!$C$2:$C$444,E408,merchant_workbook_pivot_table!$B$2:$B$444,J408)&gt;1000),"Mid-Value Merchant Day",""))</f>
        <v/>
      </c>
    </row>
    <row r="409">
      <c r="A409" s="3" t="s">
        <v>476</v>
      </c>
      <c r="B409" s="2">
        <v>306</v>
      </c>
      <c r="C409" s="2">
        <v>6</v>
      </c>
      <c r="D409" s="8" t="s">
        <v>1027</v>
      </c>
      <c r="E409" s="6" t="str">
        <f t="shared" si="12"/>
        <v>2026-01-08</v>
      </c>
      <c r="F409" s="2">
        <v>149</v>
      </c>
      <c r="G409" s="3" t="s">
        <v>69</v>
      </c>
      <c r="H409" s="3" t="s">
        <v>64</v>
      </c>
      <c r="I409" s="2">
        <v>67</v>
      </c>
      <c r="J409" s="6" t="str">
        <f>_xlfn.IFNA(VLOOKUP(C409,merchants!$A$1:$D$41,2,0),"Merchant not found")</f>
        <v>Merchant_006</v>
      </c>
      <c r="K409" s="6" t="str">
        <f>_xlfn.IFNA(VLOOKUP(C409,merchants!$A$1:$D$41,3,0),"Merchant not found")</f>
        <v>food_delivery</v>
      </c>
      <c r="L409" s="6" t="str">
        <f>_xlfn.IFNA(VLOOKUP(C409,merchants!$A$1:$D$41,4,0),"Merchant not found")</f>
        <v>South</v>
      </c>
      <c r="M409" s="9">
        <f t="shared" si="13"/>
        <v>1.49</v>
      </c>
      <c r="N409" s="6" t="str">
        <f>IF(AND(L409&lt;&gt;"East",SUMIFS(merchant_workbook_pivot_table!$D$2:$D$444,merchant_workbook_pivot_table!$C$2:$C$444,E409,merchant_workbook_pivot_table!$B$2:$B$444,J409)&gt;5000),"High-Value Merchant Day",IF(AND(L409&lt;&gt;"East",SUMIFS(merchant_workbook_pivot_table!$D$2:$D$444,merchant_workbook_pivot_table!$C$2:$C$444,E409,merchant_workbook_pivot_table!$B$2:$B$444,J409)&gt;1000),"Mid-Value Merchant Day",""))</f>
        <v/>
      </c>
    </row>
    <row r="410">
      <c r="A410" s="3" t="s">
        <v>477</v>
      </c>
      <c r="B410" s="2">
        <v>186</v>
      </c>
      <c r="C410" s="2">
        <v>5</v>
      </c>
      <c r="D410" s="8" t="s">
        <v>1028</v>
      </c>
      <c r="E410" s="6" t="str">
        <f t="shared" si="12"/>
        <v>2026-01-15</v>
      </c>
      <c r="F410" s="2">
        <v>499</v>
      </c>
      <c r="G410" s="3" t="s">
        <v>66</v>
      </c>
      <c r="H410" s="3" t="s">
        <v>64</v>
      </c>
      <c r="I410" s="2">
        <v>72</v>
      </c>
      <c r="J410" s="6" t="str">
        <f>_xlfn.IFNA(VLOOKUP(C410,merchants!$A$1:$D$41,2,0),"Merchant not found")</f>
        <v>Merchant_005</v>
      </c>
      <c r="K410" s="6" t="str">
        <f>_xlfn.IFNA(VLOOKUP(C410,merchants!$A$1:$D$41,3,0),"Merchant not found")</f>
        <v>recharge</v>
      </c>
      <c r="L410" s="6" t="str">
        <f>_xlfn.IFNA(VLOOKUP(C410,merchants!$A$1:$D$41,4,0),"Merchant not found")</f>
        <v>South</v>
      </c>
      <c r="M410" s="9">
        <f t="shared" si="13"/>
        <v>0</v>
      </c>
      <c r="N410" s="6" t="str">
        <f>IF(AND(L410&lt;&gt;"East",SUMIFS(merchant_workbook_pivot_table!$D$2:$D$444,merchant_workbook_pivot_table!$C$2:$C$444,E410,merchant_workbook_pivot_table!$B$2:$B$444,J410)&gt;5000),"High-Value Merchant Day",IF(AND(L410&lt;&gt;"East",SUMIFS(merchant_workbook_pivot_table!$D$2:$D$444,merchant_workbook_pivot_table!$C$2:$C$444,E410,merchant_workbook_pivot_table!$B$2:$B$444,J410)&gt;1000),"Mid-Value Merchant Day",""))</f>
        <v/>
      </c>
    </row>
    <row r="411">
      <c r="A411" s="3" t="s">
        <v>478</v>
      </c>
      <c r="B411" s="2">
        <v>281</v>
      </c>
      <c r="C411" s="2">
        <v>33</v>
      </c>
      <c r="D411" s="8" t="s">
        <v>1029</v>
      </c>
      <c r="E411" s="6" t="str">
        <f t="shared" si="12"/>
        <v>2026-01-04</v>
      </c>
      <c r="F411" s="2">
        <v>4999</v>
      </c>
      <c r="G411" s="3" t="s">
        <v>66</v>
      </c>
      <c r="H411" s="3" t="s">
        <v>64</v>
      </c>
      <c r="I411" s="2">
        <v>25</v>
      </c>
      <c r="J411" s="6" t="str">
        <f>_xlfn.IFNA(VLOOKUP(C411,merchants!$A$1:$D$41,2,0),"Merchant not found")</f>
        <v>Merchant_033</v>
      </c>
      <c r="K411" s="6" t="str">
        <f>_xlfn.IFNA(VLOOKUP(C411,merchants!$A$1:$D$41,3,0),"Merchant not found")</f>
        <v>bill_payment</v>
      </c>
      <c r="L411" s="6" t="str">
        <f>_xlfn.IFNA(VLOOKUP(C411,merchants!$A$1:$D$41,4,0),"Merchant not found")</f>
        <v>East</v>
      </c>
      <c r="M411" s="9">
        <f t="shared" si="13"/>
        <v>0</v>
      </c>
      <c r="N411" s="6" t="str">
        <f>IF(AND(L411&lt;&gt;"East",SUMIFS(merchant_workbook_pivot_table!$D$2:$D$444,merchant_workbook_pivot_table!$C$2:$C$444,E411,merchant_workbook_pivot_table!$B$2:$B$444,J411)&gt;5000),"High-Value Merchant Day",IF(AND(L411&lt;&gt;"East",SUMIFS(merchant_workbook_pivot_table!$D$2:$D$444,merchant_workbook_pivot_table!$C$2:$C$444,E411,merchant_workbook_pivot_table!$B$2:$B$444,J411)&gt;1000),"Mid-Value Merchant Day",""))</f>
        <v/>
      </c>
    </row>
    <row r="412">
      <c r="A412" s="3" t="s">
        <v>479</v>
      </c>
      <c r="B412" s="2">
        <v>85</v>
      </c>
      <c r="C412" s="2">
        <v>21</v>
      </c>
      <c r="D412" s="8" t="s">
        <v>1030</v>
      </c>
      <c r="E412" s="6" t="str">
        <f t="shared" si="12"/>
        <v>2026-01-19</v>
      </c>
      <c r="F412" s="2">
        <v>99</v>
      </c>
      <c r="G412" s="3" t="s">
        <v>66</v>
      </c>
      <c r="H412" s="3" t="s">
        <v>64</v>
      </c>
      <c r="I412" s="2">
        <v>66</v>
      </c>
      <c r="J412" s="6" t="str">
        <f>_xlfn.IFNA(VLOOKUP(C412,merchants!$A$1:$D$41,2,0),"Merchant not found")</f>
        <v>Merchant_021</v>
      </c>
      <c r="K412" s="6" t="str">
        <f>_xlfn.IFNA(VLOOKUP(C412,merchants!$A$1:$D$41,3,0),"Merchant not found")</f>
        <v>food_delivery</v>
      </c>
      <c r="L412" s="6" t="str">
        <f>_xlfn.IFNA(VLOOKUP(C412,merchants!$A$1:$D$41,4,0),"Merchant not found")</f>
        <v>East</v>
      </c>
      <c r="M412" s="9">
        <f t="shared" si="13"/>
        <v>0</v>
      </c>
      <c r="N412" s="6" t="str">
        <f>IF(AND(L412&lt;&gt;"East",SUMIFS(merchant_workbook_pivot_table!$D$2:$D$444,merchant_workbook_pivot_table!$C$2:$C$444,E412,merchant_workbook_pivot_table!$B$2:$B$444,J412)&gt;5000),"High-Value Merchant Day",IF(AND(L412&lt;&gt;"East",SUMIFS(merchant_workbook_pivot_table!$D$2:$D$444,merchant_workbook_pivot_table!$C$2:$C$444,E412,merchant_workbook_pivot_table!$B$2:$B$444,J412)&gt;1000),"Mid-Value Merchant Day",""))</f>
        <v/>
      </c>
    </row>
    <row r="413">
      <c r="A413" s="3" t="s">
        <v>480</v>
      </c>
      <c r="B413" s="2">
        <v>106</v>
      </c>
      <c r="C413" s="2">
        <v>38</v>
      </c>
      <c r="D413" s="8" t="s">
        <v>1031</v>
      </c>
      <c r="E413" s="6" t="str">
        <f t="shared" si="12"/>
        <v>2026-01-15</v>
      </c>
      <c r="F413" s="2">
        <v>499</v>
      </c>
      <c r="G413" s="3" t="s">
        <v>66</v>
      </c>
      <c r="H413" s="3" t="s">
        <v>64</v>
      </c>
      <c r="I413" s="2">
        <v>62</v>
      </c>
      <c r="J413" s="6" t="str">
        <f>_xlfn.IFNA(VLOOKUP(C413,merchants!$A$1:$D$41,2,0),"Merchant not found")</f>
        <v>Merchant_038</v>
      </c>
      <c r="K413" s="6" t="str">
        <f>_xlfn.IFNA(VLOOKUP(C413,merchants!$A$1:$D$41,3,0),"Merchant not found")</f>
        <v>grocery</v>
      </c>
      <c r="L413" s="6" t="str">
        <f>_xlfn.IFNA(VLOOKUP(C413,merchants!$A$1:$D$41,4,0),"Merchant not found")</f>
        <v>East</v>
      </c>
      <c r="M413" s="9">
        <f t="shared" si="13"/>
        <v>0</v>
      </c>
      <c r="N413" s="6" t="str">
        <f>IF(AND(L413&lt;&gt;"East",SUMIFS(merchant_workbook_pivot_table!$D$2:$D$444,merchant_workbook_pivot_table!$C$2:$C$444,E413,merchant_workbook_pivot_table!$B$2:$B$444,J413)&gt;5000),"High-Value Merchant Day",IF(AND(L413&lt;&gt;"East",SUMIFS(merchant_workbook_pivot_table!$D$2:$D$444,merchant_workbook_pivot_table!$C$2:$C$444,E413,merchant_workbook_pivot_table!$B$2:$B$444,J413)&gt;1000),"Mid-Value Merchant Day",""))</f>
        <v/>
      </c>
    </row>
    <row r="414">
      <c r="A414" s="3" t="s">
        <v>481</v>
      </c>
      <c r="B414" s="2">
        <v>29</v>
      </c>
      <c r="C414" s="2">
        <v>30</v>
      </c>
      <c r="D414" s="8" t="s">
        <v>1032</v>
      </c>
      <c r="E414" s="6" t="str">
        <f t="shared" si="12"/>
        <v>2026-01-03</v>
      </c>
      <c r="F414" s="2">
        <v>149</v>
      </c>
      <c r="G414" s="3" t="s">
        <v>69</v>
      </c>
      <c r="H414" s="3" t="s">
        <v>64</v>
      </c>
      <c r="I414" s="2">
        <v>16</v>
      </c>
      <c r="J414" s="6" t="str">
        <f>_xlfn.IFNA(VLOOKUP(C414,merchants!$A$1:$D$41,2,0),"Merchant not found")</f>
        <v>Merchant_030</v>
      </c>
      <c r="K414" s="6" t="str">
        <f>_xlfn.IFNA(VLOOKUP(C414,merchants!$A$1:$D$41,3,0),"Merchant not found")</f>
        <v>travel</v>
      </c>
      <c r="L414" s="6" t="str">
        <f>_xlfn.IFNA(VLOOKUP(C414,merchants!$A$1:$D$41,4,0),"Merchant not found")</f>
        <v>West</v>
      </c>
      <c r="M414" s="9">
        <f t="shared" si="13"/>
        <v>1.49</v>
      </c>
      <c r="N414" s="6" t="str">
        <f>IF(AND(L414&lt;&gt;"East",SUMIFS(merchant_workbook_pivot_table!$D$2:$D$444,merchant_workbook_pivot_table!$C$2:$C$444,E414,merchant_workbook_pivot_table!$B$2:$B$444,J414)&gt;5000),"High-Value Merchant Day",IF(AND(L414&lt;&gt;"East",SUMIFS(merchant_workbook_pivot_table!$D$2:$D$444,merchant_workbook_pivot_table!$C$2:$C$444,E414,merchant_workbook_pivot_table!$B$2:$B$444,J414)&gt;1000),"Mid-Value Merchant Day",""))</f>
        <v/>
      </c>
    </row>
    <row r="415">
      <c r="A415" s="3" t="s">
        <v>482</v>
      </c>
      <c r="B415" s="2">
        <v>289</v>
      </c>
      <c r="C415" s="2">
        <v>4</v>
      </c>
      <c r="D415" s="8" t="s">
        <v>1033</v>
      </c>
      <c r="E415" s="6" t="str">
        <f t="shared" si="12"/>
        <v>2026-01-17</v>
      </c>
      <c r="F415" s="2">
        <v>1499</v>
      </c>
      <c r="G415" s="3" t="s">
        <v>78</v>
      </c>
      <c r="H415" s="3" t="s">
        <v>64</v>
      </c>
      <c r="I415" s="2">
        <v>71</v>
      </c>
      <c r="J415" s="6" t="str">
        <f>_xlfn.IFNA(VLOOKUP(C415,merchants!$A$1:$D$41,2,0),"Merchant not found")</f>
        <v>Merchant_004</v>
      </c>
      <c r="K415" s="6" t="str">
        <f>_xlfn.IFNA(VLOOKUP(C415,merchants!$A$1:$D$41,3,0),"Merchant not found")</f>
        <v>ecommerce</v>
      </c>
      <c r="L415" s="6" t="str">
        <f>_xlfn.IFNA(VLOOKUP(C415,merchants!$A$1:$D$41,4,0),"Merchant not found")</f>
        <v>East</v>
      </c>
      <c r="M415" s="9">
        <f t="shared" si="13"/>
        <v>29.98</v>
      </c>
      <c r="N415" s="6" t="str">
        <f>IF(AND(L415&lt;&gt;"East",SUMIFS(merchant_workbook_pivot_table!$D$2:$D$444,merchant_workbook_pivot_table!$C$2:$C$444,E415,merchant_workbook_pivot_table!$B$2:$B$444,J415)&gt;5000),"High-Value Merchant Day",IF(AND(L415&lt;&gt;"East",SUMIFS(merchant_workbook_pivot_table!$D$2:$D$444,merchant_workbook_pivot_table!$C$2:$C$444,E415,merchant_workbook_pivot_table!$B$2:$B$444,J415)&gt;1000),"Mid-Value Merchant Day",""))</f>
        <v/>
      </c>
    </row>
    <row r="416">
      <c r="A416" s="3" t="s">
        <v>483</v>
      </c>
      <c r="B416" s="2">
        <v>158</v>
      </c>
      <c r="C416" s="2">
        <v>2</v>
      </c>
      <c r="D416" s="8" t="s">
        <v>1034</v>
      </c>
      <c r="E416" s="6" t="str">
        <f t="shared" si="12"/>
        <v>2026-01-15</v>
      </c>
      <c r="F416" s="2">
        <v>1499</v>
      </c>
      <c r="G416" s="3" t="s">
        <v>78</v>
      </c>
      <c r="H416" s="3" t="s">
        <v>64</v>
      </c>
      <c r="I416" s="2">
        <v>50</v>
      </c>
      <c r="J416" s="6" t="str">
        <f>_xlfn.IFNA(VLOOKUP(C416,merchants!$A$1:$D$41,2,0),"Merchant not found")</f>
        <v>Merchant_002</v>
      </c>
      <c r="K416" s="6" t="str">
        <f>_xlfn.IFNA(VLOOKUP(C416,merchants!$A$1:$D$41,3,0),"Merchant not found")</f>
        <v>grocery</v>
      </c>
      <c r="L416" s="6" t="str">
        <f>_xlfn.IFNA(VLOOKUP(C416,merchants!$A$1:$D$41,4,0),"Merchant not found")</f>
        <v>West</v>
      </c>
      <c r="M416" s="9">
        <f t="shared" si="13"/>
        <v>29.98</v>
      </c>
      <c r="N416" s="6" t="str">
        <f>IF(AND(L416&lt;&gt;"East",SUMIFS(merchant_workbook_pivot_table!$D$2:$D$444,merchant_workbook_pivot_table!$C$2:$C$444,E416,merchant_workbook_pivot_table!$B$2:$B$444,J416)&gt;5000),"High-Value Merchant Day",IF(AND(L416&lt;&gt;"East",SUMIFS(merchant_workbook_pivot_table!$D$2:$D$444,merchant_workbook_pivot_table!$C$2:$C$444,E416,merchant_workbook_pivot_table!$B$2:$B$444,J416)&gt;1000),"Mid-Value Merchant Day",""))</f>
        <v xml:space="preserve">Mid-Value Merchant Day</v>
      </c>
    </row>
    <row r="417">
      <c r="A417" s="3" t="s">
        <v>484</v>
      </c>
      <c r="B417" s="2">
        <v>112</v>
      </c>
      <c r="C417" s="2">
        <v>38</v>
      </c>
      <c r="D417" s="8" t="s">
        <v>1035</v>
      </c>
      <c r="E417" s="6" t="str">
        <f t="shared" si="12"/>
        <v>2026-01-09</v>
      </c>
      <c r="F417" s="2">
        <v>49</v>
      </c>
      <c r="G417" s="3" t="s">
        <v>66</v>
      </c>
      <c r="H417" s="3" t="s">
        <v>64</v>
      </c>
      <c r="I417" s="2">
        <v>9</v>
      </c>
      <c r="J417" s="6" t="str">
        <f>_xlfn.IFNA(VLOOKUP(C417,merchants!$A$1:$D$41,2,0),"Merchant not found")</f>
        <v>Merchant_038</v>
      </c>
      <c r="K417" s="6" t="str">
        <f>_xlfn.IFNA(VLOOKUP(C417,merchants!$A$1:$D$41,3,0),"Merchant not found")</f>
        <v>grocery</v>
      </c>
      <c r="L417" s="6" t="str">
        <f>_xlfn.IFNA(VLOOKUP(C417,merchants!$A$1:$D$41,4,0),"Merchant not found")</f>
        <v>East</v>
      </c>
      <c r="M417" s="9">
        <f t="shared" si="13"/>
        <v>0</v>
      </c>
      <c r="N417" s="6" t="str">
        <f>IF(AND(L417&lt;&gt;"East",SUMIFS(merchant_workbook_pivot_table!$D$2:$D$444,merchant_workbook_pivot_table!$C$2:$C$444,E417,merchant_workbook_pivot_table!$B$2:$B$444,J417)&gt;5000),"High-Value Merchant Day",IF(AND(L417&lt;&gt;"East",SUMIFS(merchant_workbook_pivot_table!$D$2:$D$444,merchant_workbook_pivot_table!$C$2:$C$444,E417,merchant_workbook_pivot_table!$B$2:$B$444,J417)&gt;1000),"Mid-Value Merchant Day",""))</f>
        <v/>
      </c>
    </row>
    <row r="418">
      <c r="A418" s="3" t="s">
        <v>485</v>
      </c>
      <c r="B418" s="2">
        <v>33</v>
      </c>
      <c r="C418" s="2">
        <v>35</v>
      </c>
      <c r="D418" s="8" t="s">
        <v>1036</v>
      </c>
      <c r="E418" s="6" t="str">
        <f t="shared" si="12"/>
        <v>2026-01-02</v>
      </c>
      <c r="F418" s="2">
        <v>299</v>
      </c>
      <c r="G418" s="3" t="s">
        <v>78</v>
      </c>
      <c r="H418" s="3" t="s">
        <v>79</v>
      </c>
      <c r="I418" s="2">
        <v>7</v>
      </c>
      <c r="J418" s="6" t="str">
        <f>_xlfn.IFNA(VLOOKUP(C418,merchants!$A$1:$D$41,2,0),"Merchant not found")</f>
        <v>Merchant_035</v>
      </c>
      <c r="K418" s="6" t="str">
        <f>_xlfn.IFNA(VLOOKUP(C418,merchants!$A$1:$D$41,3,0),"Merchant not found")</f>
        <v>recharge</v>
      </c>
      <c r="L418" s="6" t="str">
        <f>_xlfn.IFNA(VLOOKUP(C418,merchants!$A$1:$D$41,4,0),"Merchant not found")</f>
        <v>East</v>
      </c>
      <c r="M418" s="9">
        <f t="shared" si="13"/>
        <v>5.9800000000000004</v>
      </c>
      <c r="N418" s="6" t="str">
        <f>IF(AND(L418&lt;&gt;"East",SUMIFS(merchant_workbook_pivot_table!$D$2:$D$444,merchant_workbook_pivot_table!$C$2:$C$444,E418,merchant_workbook_pivot_table!$B$2:$B$444,J418)&gt;5000),"High-Value Merchant Day",IF(AND(L418&lt;&gt;"East",SUMIFS(merchant_workbook_pivot_table!$D$2:$D$444,merchant_workbook_pivot_table!$C$2:$C$444,E418,merchant_workbook_pivot_table!$B$2:$B$444,J418)&gt;1000),"Mid-Value Merchant Day",""))</f>
        <v/>
      </c>
    </row>
    <row r="419">
      <c r="A419" s="3" t="s">
        <v>486</v>
      </c>
      <c r="B419" s="2">
        <v>242</v>
      </c>
      <c r="C419" s="2">
        <v>3</v>
      </c>
      <c r="D419" s="8" t="s">
        <v>1037</v>
      </c>
      <c r="E419" s="6" t="str">
        <f t="shared" si="12"/>
        <v>2026-01-30</v>
      </c>
      <c r="F419" s="2">
        <v>49</v>
      </c>
      <c r="G419" s="3" t="s">
        <v>66</v>
      </c>
      <c r="H419" s="3" t="s">
        <v>64</v>
      </c>
      <c r="I419" s="2">
        <v>36</v>
      </c>
      <c r="J419" s="6" t="str">
        <f>_xlfn.IFNA(VLOOKUP(C419,merchants!$A$1:$D$41,2,0),"Merchant not found")</f>
        <v>Merchant_003</v>
      </c>
      <c r="K419" s="6" t="str">
        <f>_xlfn.IFNA(VLOOKUP(C419,merchants!$A$1:$D$41,3,0),"Merchant not found")</f>
        <v>grocery</v>
      </c>
      <c r="L419" s="6" t="str">
        <f>_xlfn.IFNA(VLOOKUP(C419,merchants!$A$1:$D$41,4,0),"Merchant not found")</f>
        <v>East</v>
      </c>
      <c r="M419" s="9">
        <f t="shared" si="13"/>
        <v>0</v>
      </c>
      <c r="N419" s="6" t="str">
        <f>IF(AND(L419&lt;&gt;"East",SUMIFS(merchant_workbook_pivot_table!$D$2:$D$444,merchant_workbook_pivot_table!$C$2:$C$444,E419,merchant_workbook_pivot_table!$B$2:$B$444,J419)&gt;5000),"High-Value Merchant Day",IF(AND(L419&lt;&gt;"East",SUMIFS(merchant_workbook_pivot_table!$D$2:$D$444,merchant_workbook_pivot_table!$C$2:$C$444,E419,merchant_workbook_pivot_table!$B$2:$B$444,J419)&gt;1000),"Mid-Value Merchant Day",""))</f>
        <v/>
      </c>
    </row>
    <row r="420">
      <c r="A420" s="3" t="s">
        <v>487</v>
      </c>
      <c r="B420" s="2">
        <v>70</v>
      </c>
      <c r="C420" s="2">
        <v>27</v>
      </c>
      <c r="D420" s="8" t="s">
        <v>1038</v>
      </c>
      <c r="E420" s="6" t="str">
        <f t="shared" si="12"/>
        <v>2026-01-14</v>
      </c>
      <c r="F420" s="2">
        <v>149</v>
      </c>
      <c r="G420" s="3" t="s">
        <v>66</v>
      </c>
      <c r="H420" s="3" t="s">
        <v>64</v>
      </c>
      <c r="I420" s="2">
        <v>47</v>
      </c>
      <c r="J420" s="6" t="str">
        <f>_xlfn.IFNA(VLOOKUP(C420,merchants!$A$1:$D$41,2,0),"Merchant not found")</f>
        <v>Merchant_027</v>
      </c>
      <c r="K420" s="6" t="str">
        <f>_xlfn.IFNA(VLOOKUP(C420,merchants!$A$1:$D$41,3,0),"Merchant not found")</f>
        <v>ecommerce</v>
      </c>
      <c r="L420" s="6" t="str">
        <f>_xlfn.IFNA(VLOOKUP(C420,merchants!$A$1:$D$41,4,0),"Merchant not found")</f>
        <v>North</v>
      </c>
      <c r="M420" s="9">
        <f t="shared" si="13"/>
        <v>0</v>
      </c>
      <c r="N420" s="6" t="str">
        <f>IF(AND(L420&lt;&gt;"East",SUMIFS(merchant_workbook_pivot_table!$D$2:$D$444,merchant_workbook_pivot_table!$C$2:$C$444,E420,merchant_workbook_pivot_table!$B$2:$B$444,J420)&gt;5000),"High-Value Merchant Day",IF(AND(L420&lt;&gt;"East",SUMIFS(merchant_workbook_pivot_table!$D$2:$D$444,merchant_workbook_pivot_table!$C$2:$C$444,E420,merchant_workbook_pivot_table!$B$2:$B$444,J420)&gt;1000),"Mid-Value Merchant Day",""))</f>
        <v/>
      </c>
    </row>
    <row r="421">
      <c r="A421" s="3" t="s">
        <v>488</v>
      </c>
      <c r="B421" s="2">
        <v>194</v>
      </c>
      <c r="C421" s="2">
        <v>25</v>
      </c>
      <c r="D421" s="8" t="s">
        <v>1039</v>
      </c>
      <c r="E421" s="6" t="str">
        <f t="shared" si="12"/>
        <v>2026-01-29</v>
      </c>
      <c r="F421" s="2">
        <v>49</v>
      </c>
      <c r="G421" s="3" t="s">
        <v>63</v>
      </c>
      <c r="H421" s="3" t="s">
        <v>64</v>
      </c>
      <c r="I421" s="2">
        <v>10</v>
      </c>
      <c r="J421" s="6" t="str">
        <f>_xlfn.IFNA(VLOOKUP(C421,merchants!$A$1:$D$41,2,0),"Merchant not found")</f>
        <v>Merchant_025</v>
      </c>
      <c r="K421" s="6" t="str">
        <f>_xlfn.IFNA(VLOOKUP(C421,merchants!$A$1:$D$41,3,0),"Merchant not found")</f>
        <v>travel</v>
      </c>
      <c r="L421" s="6" t="str">
        <f>_xlfn.IFNA(VLOOKUP(C421,merchants!$A$1:$D$41,4,0),"Merchant not found")</f>
        <v>South</v>
      </c>
      <c r="M421" s="9">
        <f t="shared" si="13"/>
        <v>0.73499999999999999</v>
      </c>
      <c r="N421" s="6" t="str">
        <f>IF(AND(L421&lt;&gt;"East",SUMIFS(merchant_workbook_pivot_table!$D$2:$D$444,merchant_workbook_pivot_table!$C$2:$C$444,E421,merchant_workbook_pivot_table!$B$2:$B$444,J421)&gt;5000),"High-Value Merchant Day",IF(AND(L421&lt;&gt;"East",SUMIFS(merchant_workbook_pivot_table!$D$2:$D$444,merchant_workbook_pivot_table!$C$2:$C$444,E421,merchant_workbook_pivot_table!$B$2:$B$444,J421)&gt;1000),"Mid-Value Merchant Day",""))</f>
        <v xml:space="preserve">Mid-Value Merchant Day</v>
      </c>
    </row>
    <row r="422">
      <c r="A422" s="3" t="s">
        <v>489</v>
      </c>
      <c r="B422" s="2">
        <v>277</v>
      </c>
      <c r="C422" s="2">
        <v>9</v>
      </c>
      <c r="D422" s="8" t="s">
        <v>1040</v>
      </c>
      <c r="E422" s="6" t="str">
        <f t="shared" si="12"/>
        <v>2026-01-22</v>
      </c>
      <c r="F422" s="2">
        <v>799</v>
      </c>
      <c r="G422" s="3" t="s">
        <v>66</v>
      </c>
      <c r="H422" s="3" t="s">
        <v>64</v>
      </c>
      <c r="I422" s="2">
        <v>83</v>
      </c>
      <c r="J422" s="6" t="str">
        <f>_xlfn.IFNA(VLOOKUP(C422,merchants!$A$1:$D$41,2,0),"Merchant not found")</f>
        <v>Merchant_009</v>
      </c>
      <c r="K422" s="6" t="str">
        <f>_xlfn.IFNA(VLOOKUP(C422,merchants!$A$1:$D$41,3,0),"Merchant not found")</f>
        <v>ecommerce</v>
      </c>
      <c r="L422" s="6" t="str">
        <f>_xlfn.IFNA(VLOOKUP(C422,merchants!$A$1:$D$41,4,0),"Merchant not found")</f>
        <v>North</v>
      </c>
      <c r="M422" s="9">
        <f t="shared" si="13"/>
        <v>0</v>
      </c>
      <c r="N422" s="6" t="str">
        <f>IF(AND(L422&lt;&gt;"East",SUMIFS(merchant_workbook_pivot_table!$D$2:$D$444,merchant_workbook_pivot_table!$C$2:$C$444,E422,merchant_workbook_pivot_table!$B$2:$B$444,J422)&gt;5000),"High-Value Merchant Day",IF(AND(L422&lt;&gt;"East",SUMIFS(merchant_workbook_pivot_table!$D$2:$D$444,merchant_workbook_pivot_table!$C$2:$C$444,E422,merchant_workbook_pivot_table!$B$2:$B$444,J422)&gt;1000),"Mid-Value Merchant Day",""))</f>
        <v xml:space="preserve">Mid-Value Merchant Day</v>
      </c>
    </row>
    <row r="423">
      <c r="A423" s="3" t="s">
        <v>490</v>
      </c>
      <c r="B423" s="2">
        <v>92</v>
      </c>
      <c r="C423" s="2">
        <v>35</v>
      </c>
      <c r="D423" s="8" t="s">
        <v>1041</v>
      </c>
      <c r="E423" s="6" t="str">
        <f t="shared" si="12"/>
        <v>2026-01-28</v>
      </c>
      <c r="F423" s="2">
        <v>49</v>
      </c>
      <c r="G423" s="3" t="s">
        <v>66</v>
      </c>
      <c r="H423" s="3" t="s">
        <v>64</v>
      </c>
      <c r="I423" s="2">
        <v>50</v>
      </c>
      <c r="J423" s="6" t="str">
        <f>_xlfn.IFNA(VLOOKUP(C423,merchants!$A$1:$D$41,2,0),"Merchant not found")</f>
        <v>Merchant_035</v>
      </c>
      <c r="K423" s="6" t="str">
        <f>_xlfn.IFNA(VLOOKUP(C423,merchants!$A$1:$D$41,3,0),"Merchant not found")</f>
        <v>recharge</v>
      </c>
      <c r="L423" s="6" t="str">
        <f>_xlfn.IFNA(VLOOKUP(C423,merchants!$A$1:$D$41,4,0),"Merchant not found")</f>
        <v>East</v>
      </c>
      <c r="M423" s="9">
        <f t="shared" si="13"/>
        <v>0</v>
      </c>
      <c r="N423" s="6" t="str">
        <f>IF(AND(L423&lt;&gt;"East",SUMIFS(merchant_workbook_pivot_table!$D$2:$D$444,merchant_workbook_pivot_table!$C$2:$C$444,E423,merchant_workbook_pivot_table!$B$2:$B$444,J423)&gt;5000),"High-Value Merchant Day",IF(AND(L423&lt;&gt;"East",SUMIFS(merchant_workbook_pivot_table!$D$2:$D$444,merchant_workbook_pivot_table!$C$2:$C$444,E423,merchant_workbook_pivot_table!$B$2:$B$444,J423)&gt;1000),"Mid-Value Merchant Day",""))</f>
        <v/>
      </c>
    </row>
    <row r="424">
      <c r="A424" s="3" t="s">
        <v>491</v>
      </c>
      <c r="B424" s="2">
        <v>115</v>
      </c>
      <c r="C424" s="2">
        <v>1</v>
      </c>
      <c r="D424" s="8" t="s">
        <v>1042</v>
      </c>
      <c r="E424" s="6" t="str">
        <f t="shared" si="12"/>
        <v>2026-01-17</v>
      </c>
      <c r="F424" s="2">
        <v>149</v>
      </c>
      <c r="G424" s="3" t="s">
        <v>63</v>
      </c>
      <c r="H424" s="3" t="s">
        <v>64</v>
      </c>
      <c r="I424" s="2">
        <v>96</v>
      </c>
      <c r="J424" s="6" t="str">
        <f>_xlfn.IFNA(VLOOKUP(C424,merchants!$A$1:$D$41,2,0),"Merchant not found")</f>
        <v>Merchant_001</v>
      </c>
      <c r="K424" s="6" t="str">
        <f>_xlfn.IFNA(VLOOKUP(C424,merchants!$A$1:$D$41,3,0),"Merchant not found")</f>
        <v>ecommerce</v>
      </c>
      <c r="L424" s="6" t="str">
        <f>_xlfn.IFNA(VLOOKUP(C424,merchants!$A$1:$D$41,4,0),"Merchant not found")</f>
        <v>South</v>
      </c>
      <c r="M424" s="9">
        <f t="shared" si="13"/>
        <v>2.2349999999999999</v>
      </c>
      <c r="N424" s="6" t="str">
        <f>IF(AND(L424&lt;&gt;"East",SUMIFS(merchant_workbook_pivot_table!$D$2:$D$444,merchant_workbook_pivot_table!$C$2:$C$444,E424,merchant_workbook_pivot_table!$B$2:$B$444,J424)&gt;5000),"High-Value Merchant Day",IF(AND(L424&lt;&gt;"East",SUMIFS(merchant_workbook_pivot_table!$D$2:$D$444,merchant_workbook_pivot_table!$C$2:$C$444,E424,merchant_workbook_pivot_table!$B$2:$B$444,J424)&gt;1000),"Mid-Value Merchant Day",""))</f>
        <v/>
      </c>
    </row>
    <row r="425">
      <c r="A425" s="3" t="s">
        <v>492</v>
      </c>
      <c r="B425" s="2">
        <v>345</v>
      </c>
      <c r="C425" s="2">
        <v>35</v>
      </c>
      <c r="D425" s="8" t="s">
        <v>1043</v>
      </c>
      <c r="E425" s="6" t="str">
        <f t="shared" si="12"/>
        <v>2026-01-01</v>
      </c>
      <c r="F425" s="2">
        <v>499</v>
      </c>
      <c r="G425" s="3" t="s">
        <v>78</v>
      </c>
      <c r="H425" s="3" t="s">
        <v>64</v>
      </c>
      <c r="I425" s="2">
        <v>54</v>
      </c>
      <c r="J425" s="6" t="str">
        <f>_xlfn.IFNA(VLOOKUP(C425,merchants!$A$1:$D$41,2,0),"Merchant not found")</f>
        <v>Merchant_035</v>
      </c>
      <c r="K425" s="6" t="str">
        <f>_xlfn.IFNA(VLOOKUP(C425,merchants!$A$1:$D$41,3,0),"Merchant not found")</f>
        <v>recharge</v>
      </c>
      <c r="L425" s="6" t="str">
        <f>_xlfn.IFNA(VLOOKUP(C425,merchants!$A$1:$D$41,4,0),"Merchant not found")</f>
        <v>East</v>
      </c>
      <c r="M425" s="9">
        <f t="shared" si="13"/>
        <v>9.9800000000000004</v>
      </c>
      <c r="N425" s="6" t="str">
        <f>IF(AND(L425&lt;&gt;"East",SUMIFS(merchant_workbook_pivot_table!$D$2:$D$444,merchant_workbook_pivot_table!$C$2:$C$444,E425,merchant_workbook_pivot_table!$B$2:$B$444,J425)&gt;5000),"High-Value Merchant Day",IF(AND(L425&lt;&gt;"East",SUMIFS(merchant_workbook_pivot_table!$D$2:$D$444,merchant_workbook_pivot_table!$C$2:$C$444,E425,merchant_workbook_pivot_table!$B$2:$B$444,J425)&gt;1000),"Mid-Value Merchant Day",""))</f>
        <v/>
      </c>
    </row>
    <row r="426">
      <c r="A426" s="3" t="s">
        <v>493</v>
      </c>
      <c r="B426" s="2">
        <v>118</v>
      </c>
      <c r="C426" s="2">
        <v>16</v>
      </c>
      <c r="D426" s="8" t="s">
        <v>1044</v>
      </c>
      <c r="E426" s="6" t="str">
        <f t="shared" si="12"/>
        <v>2026-01-18</v>
      </c>
      <c r="F426" s="2">
        <v>49</v>
      </c>
      <c r="G426" s="3" t="s">
        <v>66</v>
      </c>
      <c r="H426" s="3" t="s">
        <v>64</v>
      </c>
      <c r="I426" s="2">
        <v>58</v>
      </c>
      <c r="J426" s="6" t="str">
        <f>_xlfn.IFNA(VLOOKUP(C426,merchants!$A$1:$D$41,2,0),"Merchant not found")</f>
        <v>Merchant_016</v>
      </c>
      <c r="K426" s="6" t="str">
        <f>_xlfn.IFNA(VLOOKUP(C426,merchants!$A$1:$D$41,3,0),"Merchant not found")</f>
        <v>bill_payment</v>
      </c>
      <c r="L426" s="6" t="str">
        <f>_xlfn.IFNA(VLOOKUP(C426,merchants!$A$1:$D$41,4,0),"Merchant not found")</f>
        <v>West</v>
      </c>
      <c r="M426" s="9">
        <f t="shared" si="13"/>
        <v>0</v>
      </c>
      <c r="N426" s="6" t="str">
        <f>IF(AND(L426&lt;&gt;"East",SUMIFS(merchant_workbook_pivot_table!$D$2:$D$444,merchant_workbook_pivot_table!$C$2:$C$444,E426,merchant_workbook_pivot_table!$B$2:$B$444,J426)&gt;5000),"High-Value Merchant Day",IF(AND(L426&lt;&gt;"East",SUMIFS(merchant_workbook_pivot_table!$D$2:$D$444,merchant_workbook_pivot_table!$C$2:$C$444,E426,merchant_workbook_pivot_table!$B$2:$B$444,J426)&gt;1000),"Mid-Value Merchant Day",""))</f>
        <v/>
      </c>
    </row>
    <row r="427">
      <c r="A427" s="3" t="s">
        <v>494</v>
      </c>
      <c r="B427" s="2">
        <v>97</v>
      </c>
      <c r="C427" s="2">
        <v>8</v>
      </c>
      <c r="D427" s="8" t="s">
        <v>1045</v>
      </c>
      <c r="E427" s="6" t="str">
        <f t="shared" si="12"/>
        <v>2026-01-12</v>
      </c>
      <c r="F427" s="2">
        <v>99</v>
      </c>
      <c r="G427" s="3" t="s">
        <v>69</v>
      </c>
      <c r="H427" s="3" t="s">
        <v>64</v>
      </c>
      <c r="I427" s="2">
        <v>4</v>
      </c>
      <c r="J427" s="6" t="str">
        <f>_xlfn.IFNA(VLOOKUP(C427,merchants!$A$1:$D$41,2,0),"Merchant not found")</f>
        <v>Merchant_008</v>
      </c>
      <c r="K427" s="6" t="str">
        <f>_xlfn.IFNA(VLOOKUP(C427,merchants!$A$1:$D$41,3,0),"Merchant not found")</f>
        <v>food_delivery</v>
      </c>
      <c r="L427" s="6" t="str">
        <f>_xlfn.IFNA(VLOOKUP(C427,merchants!$A$1:$D$41,4,0),"Merchant not found")</f>
        <v>North</v>
      </c>
      <c r="M427" s="9">
        <f t="shared" si="13"/>
        <v>0.98999999999999999</v>
      </c>
      <c r="N427" s="6" t="str">
        <f>IF(AND(L427&lt;&gt;"East",SUMIFS(merchant_workbook_pivot_table!$D$2:$D$444,merchant_workbook_pivot_table!$C$2:$C$444,E427,merchant_workbook_pivot_table!$B$2:$B$444,J427)&gt;5000),"High-Value Merchant Day",IF(AND(L427&lt;&gt;"East",SUMIFS(merchant_workbook_pivot_table!$D$2:$D$444,merchant_workbook_pivot_table!$C$2:$C$444,E427,merchant_workbook_pivot_table!$B$2:$B$444,J427)&gt;1000),"Mid-Value Merchant Day",""))</f>
        <v/>
      </c>
    </row>
    <row r="428">
      <c r="A428" s="3" t="s">
        <v>495</v>
      </c>
      <c r="B428" s="2">
        <v>315</v>
      </c>
      <c r="C428" s="2">
        <v>2</v>
      </c>
      <c r="D428" s="8" t="s">
        <v>1046</v>
      </c>
      <c r="E428" s="6" t="str">
        <f t="shared" si="12"/>
        <v>2026-01-26</v>
      </c>
      <c r="F428" s="2">
        <v>299</v>
      </c>
      <c r="G428" s="3" t="s">
        <v>63</v>
      </c>
      <c r="H428" s="3" t="s">
        <v>64</v>
      </c>
      <c r="I428" s="2">
        <v>30</v>
      </c>
      <c r="J428" s="6" t="str">
        <f>_xlfn.IFNA(VLOOKUP(C428,merchants!$A$1:$D$41,2,0),"Merchant not found")</f>
        <v>Merchant_002</v>
      </c>
      <c r="K428" s="6" t="str">
        <f>_xlfn.IFNA(VLOOKUP(C428,merchants!$A$1:$D$41,3,0),"Merchant not found")</f>
        <v>grocery</v>
      </c>
      <c r="L428" s="6" t="str">
        <f>_xlfn.IFNA(VLOOKUP(C428,merchants!$A$1:$D$41,4,0),"Merchant not found")</f>
        <v>West</v>
      </c>
      <c r="M428" s="9">
        <f t="shared" si="13"/>
        <v>4.4849999999999994</v>
      </c>
      <c r="N428" s="6" t="str">
        <f>IF(AND(L428&lt;&gt;"East",SUMIFS(merchant_workbook_pivot_table!$D$2:$D$444,merchant_workbook_pivot_table!$C$2:$C$444,E428,merchant_workbook_pivot_table!$B$2:$B$444,J428)&gt;5000),"High-Value Merchant Day",IF(AND(L428&lt;&gt;"East",SUMIFS(merchant_workbook_pivot_table!$D$2:$D$444,merchant_workbook_pivot_table!$C$2:$C$444,E428,merchant_workbook_pivot_table!$B$2:$B$444,J428)&gt;1000),"Mid-Value Merchant Day",""))</f>
        <v/>
      </c>
    </row>
    <row r="429">
      <c r="A429" s="3" t="s">
        <v>496</v>
      </c>
      <c r="B429" s="2">
        <v>305</v>
      </c>
      <c r="C429" s="2">
        <v>3</v>
      </c>
      <c r="D429" s="8" t="s">
        <v>1047</v>
      </c>
      <c r="E429" s="6" t="str">
        <f t="shared" si="12"/>
        <v>2026-01-07</v>
      </c>
      <c r="F429" s="2">
        <v>299</v>
      </c>
      <c r="G429" s="3" t="s">
        <v>66</v>
      </c>
      <c r="H429" s="3" t="s">
        <v>64</v>
      </c>
      <c r="I429" s="2">
        <v>57</v>
      </c>
      <c r="J429" s="6" t="str">
        <f>_xlfn.IFNA(VLOOKUP(C429,merchants!$A$1:$D$41,2,0),"Merchant not found")</f>
        <v>Merchant_003</v>
      </c>
      <c r="K429" s="6" t="str">
        <f>_xlfn.IFNA(VLOOKUP(C429,merchants!$A$1:$D$41,3,0),"Merchant not found")</f>
        <v>grocery</v>
      </c>
      <c r="L429" s="6" t="str">
        <f>_xlfn.IFNA(VLOOKUP(C429,merchants!$A$1:$D$41,4,0),"Merchant not found")</f>
        <v>East</v>
      </c>
      <c r="M429" s="9">
        <f t="shared" si="13"/>
        <v>0</v>
      </c>
      <c r="N429" s="6" t="str">
        <f>IF(AND(L429&lt;&gt;"East",SUMIFS(merchant_workbook_pivot_table!$D$2:$D$444,merchant_workbook_pivot_table!$C$2:$C$444,E429,merchant_workbook_pivot_table!$B$2:$B$444,J429)&gt;5000),"High-Value Merchant Day",IF(AND(L429&lt;&gt;"East",SUMIFS(merchant_workbook_pivot_table!$D$2:$D$444,merchant_workbook_pivot_table!$C$2:$C$444,E429,merchant_workbook_pivot_table!$B$2:$B$444,J429)&gt;1000),"Mid-Value Merchant Day",""))</f>
        <v/>
      </c>
    </row>
    <row r="430">
      <c r="A430" s="3" t="s">
        <v>497</v>
      </c>
      <c r="B430" s="2">
        <v>25</v>
      </c>
      <c r="C430" s="2">
        <v>16</v>
      </c>
      <c r="D430" s="8" t="s">
        <v>1048</v>
      </c>
      <c r="E430" s="6" t="str">
        <f t="shared" si="12"/>
        <v>2026-01-20</v>
      </c>
      <c r="F430" s="2">
        <v>299</v>
      </c>
      <c r="G430" s="3" t="s">
        <v>66</v>
      </c>
      <c r="H430" s="3" t="s">
        <v>64</v>
      </c>
      <c r="I430" s="2">
        <v>94</v>
      </c>
      <c r="J430" s="6" t="str">
        <f>_xlfn.IFNA(VLOOKUP(C430,merchants!$A$1:$D$41,2,0),"Merchant not found")</f>
        <v>Merchant_016</v>
      </c>
      <c r="K430" s="6" t="str">
        <f>_xlfn.IFNA(VLOOKUP(C430,merchants!$A$1:$D$41,3,0),"Merchant not found")</f>
        <v>bill_payment</v>
      </c>
      <c r="L430" s="6" t="str">
        <f>_xlfn.IFNA(VLOOKUP(C430,merchants!$A$1:$D$41,4,0),"Merchant not found")</f>
        <v>West</v>
      </c>
      <c r="M430" s="9">
        <f t="shared" si="13"/>
        <v>0</v>
      </c>
      <c r="N430" s="6" t="str">
        <f>IF(AND(L430&lt;&gt;"East",SUMIFS(merchant_workbook_pivot_table!$D$2:$D$444,merchant_workbook_pivot_table!$C$2:$C$444,E430,merchant_workbook_pivot_table!$B$2:$B$444,J430)&gt;5000),"High-Value Merchant Day",IF(AND(L430&lt;&gt;"East",SUMIFS(merchant_workbook_pivot_table!$D$2:$D$444,merchant_workbook_pivot_table!$C$2:$C$444,E430,merchant_workbook_pivot_table!$B$2:$B$444,J430)&gt;1000),"Mid-Value Merchant Day",""))</f>
        <v/>
      </c>
    </row>
    <row r="431">
      <c r="A431" s="3" t="s">
        <v>498</v>
      </c>
      <c r="B431" s="2">
        <v>120</v>
      </c>
      <c r="C431" s="2">
        <v>35</v>
      </c>
      <c r="D431" s="8" t="s">
        <v>1049</v>
      </c>
      <c r="E431" s="6" t="str">
        <f t="shared" si="12"/>
        <v>2026-01-02</v>
      </c>
      <c r="F431" s="2">
        <v>49</v>
      </c>
      <c r="G431" s="3" t="s">
        <v>66</v>
      </c>
      <c r="H431" s="3" t="s">
        <v>64</v>
      </c>
      <c r="I431" s="2">
        <v>27</v>
      </c>
      <c r="J431" s="6" t="str">
        <f>_xlfn.IFNA(VLOOKUP(C431,merchants!$A$1:$D$41,2,0),"Merchant not found")</f>
        <v>Merchant_035</v>
      </c>
      <c r="K431" s="6" t="str">
        <f>_xlfn.IFNA(VLOOKUP(C431,merchants!$A$1:$D$41,3,0),"Merchant not found")</f>
        <v>recharge</v>
      </c>
      <c r="L431" s="6" t="str">
        <f>_xlfn.IFNA(VLOOKUP(C431,merchants!$A$1:$D$41,4,0),"Merchant not found")</f>
        <v>East</v>
      </c>
      <c r="M431" s="9">
        <f t="shared" si="13"/>
        <v>0</v>
      </c>
      <c r="N431" s="6" t="str">
        <f>IF(AND(L431&lt;&gt;"East",SUMIFS(merchant_workbook_pivot_table!$D$2:$D$444,merchant_workbook_pivot_table!$C$2:$C$444,E431,merchant_workbook_pivot_table!$B$2:$B$444,J431)&gt;5000),"High-Value Merchant Day",IF(AND(L431&lt;&gt;"East",SUMIFS(merchant_workbook_pivot_table!$D$2:$D$444,merchant_workbook_pivot_table!$C$2:$C$444,E431,merchant_workbook_pivot_table!$B$2:$B$444,J431)&gt;1000),"Mid-Value Merchant Day",""))</f>
        <v/>
      </c>
    </row>
    <row r="432">
      <c r="A432" s="3" t="s">
        <v>499</v>
      </c>
      <c r="B432" s="2">
        <v>258</v>
      </c>
      <c r="C432" s="2">
        <v>19</v>
      </c>
      <c r="D432" s="8" t="s">
        <v>1050</v>
      </c>
      <c r="E432" s="6" t="str">
        <f t="shared" si="12"/>
        <v>2026-01-25</v>
      </c>
      <c r="F432" s="2">
        <v>49</v>
      </c>
      <c r="G432" s="3" t="s">
        <v>63</v>
      </c>
      <c r="H432" s="3" t="s">
        <v>64</v>
      </c>
      <c r="I432" s="2">
        <v>29</v>
      </c>
      <c r="J432" s="6" t="str">
        <f>_xlfn.IFNA(VLOOKUP(C432,merchants!$A$1:$D$41,2,0),"Merchant not found")</f>
        <v>Merchant_019</v>
      </c>
      <c r="K432" s="6" t="str">
        <f>_xlfn.IFNA(VLOOKUP(C432,merchants!$A$1:$D$41,3,0),"Merchant not found")</f>
        <v>grocery</v>
      </c>
      <c r="L432" s="6" t="str">
        <f>_xlfn.IFNA(VLOOKUP(C432,merchants!$A$1:$D$41,4,0),"Merchant not found")</f>
        <v>North</v>
      </c>
      <c r="M432" s="9">
        <f t="shared" si="13"/>
        <v>0.73499999999999999</v>
      </c>
      <c r="N432" s="6" t="str">
        <f>IF(AND(L432&lt;&gt;"East",SUMIFS(merchant_workbook_pivot_table!$D$2:$D$444,merchant_workbook_pivot_table!$C$2:$C$444,E432,merchant_workbook_pivot_table!$B$2:$B$444,J432)&gt;5000),"High-Value Merchant Day",IF(AND(L432&lt;&gt;"East",SUMIFS(merchant_workbook_pivot_table!$D$2:$D$444,merchant_workbook_pivot_table!$C$2:$C$444,E432,merchant_workbook_pivot_table!$B$2:$B$444,J432)&gt;1000),"Mid-Value Merchant Day",""))</f>
        <v/>
      </c>
    </row>
    <row r="433">
      <c r="A433" s="3" t="s">
        <v>500</v>
      </c>
      <c r="B433" s="2">
        <v>164</v>
      </c>
      <c r="C433" s="2">
        <v>37</v>
      </c>
      <c r="D433" s="8" t="s">
        <v>1051</v>
      </c>
      <c r="E433" s="6" t="str">
        <f t="shared" si="12"/>
        <v>2026-01-27</v>
      </c>
      <c r="F433" s="2">
        <v>799</v>
      </c>
      <c r="G433" s="3" t="s">
        <v>66</v>
      </c>
      <c r="H433" s="3" t="s">
        <v>64</v>
      </c>
      <c r="I433" s="2">
        <v>76</v>
      </c>
      <c r="J433" s="6" t="str">
        <f>_xlfn.IFNA(VLOOKUP(C433,merchants!$A$1:$D$41,2,0),"Merchant not found")</f>
        <v>Merchant_037</v>
      </c>
      <c r="K433" s="6" t="str">
        <f>_xlfn.IFNA(VLOOKUP(C433,merchants!$A$1:$D$41,3,0),"Merchant not found")</f>
        <v>entertainment</v>
      </c>
      <c r="L433" s="6" t="str">
        <f>_xlfn.IFNA(VLOOKUP(C433,merchants!$A$1:$D$41,4,0),"Merchant not found")</f>
        <v>South</v>
      </c>
      <c r="M433" s="9">
        <f t="shared" si="13"/>
        <v>0</v>
      </c>
      <c r="N433" s="6" t="str">
        <f>IF(AND(L433&lt;&gt;"East",SUMIFS(merchant_workbook_pivot_table!$D$2:$D$444,merchant_workbook_pivot_table!$C$2:$C$444,E433,merchant_workbook_pivot_table!$B$2:$B$444,J433)&gt;5000),"High-Value Merchant Day",IF(AND(L433&lt;&gt;"East",SUMIFS(merchant_workbook_pivot_table!$D$2:$D$444,merchant_workbook_pivot_table!$C$2:$C$444,E433,merchant_workbook_pivot_table!$B$2:$B$444,J433)&gt;1000),"Mid-Value Merchant Day",""))</f>
        <v/>
      </c>
    </row>
    <row r="434">
      <c r="A434" s="3" t="s">
        <v>501</v>
      </c>
      <c r="B434" s="2">
        <v>165</v>
      </c>
      <c r="C434" s="2">
        <v>16</v>
      </c>
      <c r="D434" s="8" t="s">
        <v>1052</v>
      </c>
      <c r="E434" s="6" t="str">
        <f t="shared" si="12"/>
        <v>2026-01-25</v>
      </c>
      <c r="F434" s="2">
        <v>49</v>
      </c>
      <c r="G434" s="3" t="s">
        <v>63</v>
      </c>
      <c r="H434" s="3" t="s">
        <v>64</v>
      </c>
      <c r="I434" s="2">
        <v>38</v>
      </c>
      <c r="J434" s="6" t="str">
        <f>_xlfn.IFNA(VLOOKUP(C434,merchants!$A$1:$D$41,2,0),"Merchant not found")</f>
        <v>Merchant_016</v>
      </c>
      <c r="K434" s="6" t="str">
        <f>_xlfn.IFNA(VLOOKUP(C434,merchants!$A$1:$D$41,3,0),"Merchant not found")</f>
        <v>bill_payment</v>
      </c>
      <c r="L434" s="6" t="str">
        <f>_xlfn.IFNA(VLOOKUP(C434,merchants!$A$1:$D$41,4,0),"Merchant not found")</f>
        <v>West</v>
      </c>
      <c r="M434" s="9">
        <f t="shared" si="13"/>
        <v>0.73499999999999999</v>
      </c>
      <c r="N434" s="6" t="str">
        <f>IF(AND(L434&lt;&gt;"East",SUMIFS(merchant_workbook_pivot_table!$D$2:$D$444,merchant_workbook_pivot_table!$C$2:$C$444,E434,merchant_workbook_pivot_table!$B$2:$B$444,J434)&gt;5000),"High-Value Merchant Day",IF(AND(L434&lt;&gt;"East",SUMIFS(merchant_workbook_pivot_table!$D$2:$D$444,merchant_workbook_pivot_table!$C$2:$C$444,E434,merchant_workbook_pivot_table!$B$2:$B$444,J434)&gt;1000),"Mid-Value Merchant Day",""))</f>
        <v/>
      </c>
    </row>
    <row r="435">
      <c r="A435" s="3" t="s">
        <v>502</v>
      </c>
      <c r="B435" s="2">
        <v>267</v>
      </c>
      <c r="C435" s="2">
        <v>15</v>
      </c>
      <c r="D435" s="8" t="s">
        <v>1053</v>
      </c>
      <c r="E435" s="6" t="str">
        <f t="shared" si="12"/>
        <v>2026-01-29</v>
      </c>
      <c r="F435" s="2">
        <v>49</v>
      </c>
      <c r="G435" s="3" t="s">
        <v>69</v>
      </c>
      <c r="H435" s="3" t="s">
        <v>64</v>
      </c>
      <c r="I435" s="2">
        <v>52</v>
      </c>
      <c r="J435" s="6" t="str">
        <f>_xlfn.IFNA(VLOOKUP(C435,merchants!$A$1:$D$41,2,0),"Merchant not found")</f>
        <v>Merchant_015</v>
      </c>
      <c r="K435" s="6" t="str">
        <f>_xlfn.IFNA(VLOOKUP(C435,merchants!$A$1:$D$41,3,0),"Merchant not found")</f>
        <v>travel</v>
      </c>
      <c r="L435" s="6" t="str">
        <f>_xlfn.IFNA(VLOOKUP(C435,merchants!$A$1:$D$41,4,0),"Merchant not found")</f>
        <v>North</v>
      </c>
      <c r="M435" s="9">
        <f t="shared" si="13"/>
        <v>0.48999999999999999</v>
      </c>
      <c r="N435" s="6" t="str">
        <f>IF(AND(L435&lt;&gt;"East",SUMIFS(merchant_workbook_pivot_table!$D$2:$D$444,merchant_workbook_pivot_table!$C$2:$C$444,E435,merchant_workbook_pivot_table!$B$2:$B$444,J435)&gt;5000),"High-Value Merchant Day",IF(AND(L435&lt;&gt;"East",SUMIFS(merchant_workbook_pivot_table!$D$2:$D$444,merchant_workbook_pivot_table!$C$2:$C$444,E435,merchant_workbook_pivot_table!$B$2:$B$444,J435)&gt;1000),"Mid-Value Merchant Day",""))</f>
        <v/>
      </c>
    </row>
    <row r="436">
      <c r="A436" s="3" t="s">
        <v>503</v>
      </c>
      <c r="B436" s="2">
        <v>286</v>
      </c>
      <c r="C436" s="2">
        <v>38</v>
      </c>
      <c r="D436" s="8" t="s">
        <v>1054</v>
      </c>
      <c r="E436" s="6" t="str">
        <f t="shared" si="12"/>
        <v>2026-01-10</v>
      </c>
      <c r="F436" s="2">
        <v>299</v>
      </c>
      <c r="G436" s="3" t="s">
        <v>63</v>
      </c>
      <c r="H436" s="3" t="s">
        <v>64</v>
      </c>
      <c r="I436" s="2">
        <v>94</v>
      </c>
      <c r="J436" s="6" t="str">
        <f>_xlfn.IFNA(VLOOKUP(C436,merchants!$A$1:$D$41,2,0),"Merchant not found")</f>
        <v>Merchant_038</v>
      </c>
      <c r="K436" s="6" t="str">
        <f>_xlfn.IFNA(VLOOKUP(C436,merchants!$A$1:$D$41,3,0),"Merchant not found")</f>
        <v>grocery</v>
      </c>
      <c r="L436" s="6" t="str">
        <f>_xlfn.IFNA(VLOOKUP(C436,merchants!$A$1:$D$41,4,0),"Merchant not found")</f>
        <v>East</v>
      </c>
      <c r="M436" s="9">
        <f t="shared" si="13"/>
        <v>4.4849999999999994</v>
      </c>
      <c r="N436" s="6" t="str">
        <f>IF(AND(L436&lt;&gt;"East",SUMIFS(merchant_workbook_pivot_table!$D$2:$D$444,merchant_workbook_pivot_table!$C$2:$C$444,E436,merchant_workbook_pivot_table!$B$2:$B$444,J436)&gt;5000),"High-Value Merchant Day",IF(AND(L436&lt;&gt;"East",SUMIFS(merchant_workbook_pivot_table!$D$2:$D$444,merchant_workbook_pivot_table!$C$2:$C$444,E436,merchant_workbook_pivot_table!$B$2:$B$444,J436)&gt;1000),"Mid-Value Merchant Day",""))</f>
        <v/>
      </c>
    </row>
    <row r="437">
      <c r="A437" s="3" t="s">
        <v>504</v>
      </c>
      <c r="B437" s="2">
        <v>348</v>
      </c>
      <c r="C437" s="2">
        <v>28</v>
      </c>
      <c r="D437" s="8" t="s">
        <v>1055</v>
      </c>
      <c r="E437" s="6" t="str">
        <f t="shared" si="12"/>
        <v>2026-01-30</v>
      </c>
      <c r="F437" s="2">
        <v>499</v>
      </c>
      <c r="G437" s="3" t="s">
        <v>78</v>
      </c>
      <c r="H437" s="3" t="s">
        <v>64</v>
      </c>
      <c r="I437" s="2">
        <v>71</v>
      </c>
      <c r="J437" s="6" t="str">
        <f>_xlfn.IFNA(VLOOKUP(C437,merchants!$A$1:$D$41,2,0),"Merchant not found")</f>
        <v>Merchant_028</v>
      </c>
      <c r="K437" s="6" t="str">
        <f>_xlfn.IFNA(VLOOKUP(C437,merchants!$A$1:$D$41,3,0),"Merchant not found")</f>
        <v>ecommerce</v>
      </c>
      <c r="L437" s="6" t="str">
        <f>_xlfn.IFNA(VLOOKUP(C437,merchants!$A$1:$D$41,4,0),"Merchant not found")</f>
        <v>South</v>
      </c>
      <c r="M437" s="9">
        <f t="shared" si="13"/>
        <v>9.9800000000000004</v>
      </c>
      <c r="N437" s="6" t="str">
        <f>IF(AND(L437&lt;&gt;"East",SUMIFS(merchant_workbook_pivot_table!$D$2:$D$444,merchant_workbook_pivot_table!$C$2:$C$444,E437,merchant_workbook_pivot_table!$B$2:$B$444,J437)&gt;5000),"High-Value Merchant Day",IF(AND(L437&lt;&gt;"East",SUMIFS(merchant_workbook_pivot_table!$D$2:$D$444,merchant_workbook_pivot_table!$C$2:$C$444,E437,merchant_workbook_pivot_table!$B$2:$B$444,J437)&gt;1000),"Mid-Value Merchant Day",""))</f>
        <v/>
      </c>
    </row>
    <row r="438">
      <c r="A438" s="3" t="s">
        <v>505</v>
      </c>
      <c r="B438" s="2">
        <v>330</v>
      </c>
      <c r="C438" s="2">
        <v>25</v>
      </c>
      <c r="D438" s="8" t="s">
        <v>1056</v>
      </c>
      <c r="E438" s="6" t="str">
        <f t="shared" si="12"/>
        <v>2026-01-16</v>
      </c>
      <c r="F438" s="2">
        <v>799</v>
      </c>
      <c r="G438" s="3" t="s">
        <v>66</v>
      </c>
      <c r="H438" s="3" t="s">
        <v>64</v>
      </c>
      <c r="I438" s="2">
        <v>100</v>
      </c>
      <c r="J438" s="6" t="str">
        <f>_xlfn.IFNA(VLOOKUP(C438,merchants!$A$1:$D$41,2,0),"Merchant not found")</f>
        <v>Merchant_025</v>
      </c>
      <c r="K438" s="6" t="str">
        <f>_xlfn.IFNA(VLOOKUP(C438,merchants!$A$1:$D$41,3,0),"Merchant not found")</f>
        <v>travel</v>
      </c>
      <c r="L438" s="6" t="str">
        <f>_xlfn.IFNA(VLOOKUP(C438,merchants!$A$1:$D$41,4,0),"Merchant not found")</f>
        <v>South</v>
      </c>
      <c r="M438" s="9">
        <f t="shared" si="13"/>
        <v>0</v>
      </c>
      <c r="N438" s="6" t="str">
        <f>IF(AND(L438&lt;&gt;"East",SUMIFS(merchant_workbook_pivot_table!$D$2:$D$444,merchant_workbook_pivot_table!$C$2:$C$444,E438,merchant_workbook_pivot_table!$B$2:$B$444,J438)&gt;5000),"High-Value Merchant Day",IF(AND(L438&lt;&gt;"East",SUMIFS(merchant_workbook_pivot_table!$D$2:$D$444,merchant_workbook_pivot_table!$C$2:$C$444,E438,merchant_workbook_pivot_table!$B$2:$B$444,J438)&gt;1000),"Mid-Value Merchant Day",""))</f>
        <v/>
      </c>
    </row>
    <row r="439">
      <c r="A439" s="3" t="s">
        <v>506</v>
      </c>
      <c r="B439" s="2">
        <v>214</v>
      </c>
      <c r="C439" s="2">
        <v>27</v>
      </c>
      <c r="D439" s="8" t="s">
        <v>1057</v>
      </c>
      <c r="E439" s="6" t="str">
        <f t="shared" si="12"/>
        <v>2026-01-17</v>
      </c>
      <c r="F439" s="2">
        <v>299</v>
      </c>
      <c r="G439" s="3" t="s">
        <v>78</v>
      </c>
      <c r="H439" s="3" t="s">
        <v>64</v>
      </c>
      <c r="I439" s="2">
        <v>19</v>
      </c>
      <c r="J439" s="6" t="str">
        <f>_xlfn.IFNA(VLOOKUP(C439,merchants!$A$1:$D$41,2,0),"Merchant not found")</f>
        <v>Merchant_027</v>
      </c>
      <c r="K439" s="6" t="str">
        <f>_xlfn.IFNA(VLOOKUP(C439,merchants!$A$1:$D$41,3,0),"Merchant not found")</f>
        <v>ecommerce</v>
      </c>
      <c r="L439" s="6" t="str">
        <f>_xlfn.IFNA(VLOOKUP(C439,merchants!$A$1:$D$41,4,0),"Merchant not found")</f>
        <v>North</v>
      </c>
      <c r="M439" s="9">
        <f t="shared" si="13"/>
        <v>5.9800000000000004</v>
      </c>
      <c r="N439" s="6" t="str">
        <f>IF(AND(L439&lt;&gt;"East",SUMIFS(merchant_workbook_pivot_table!$D$2:$D$444,merchant_workbook_pivot_table!$C$2:$C$444,E439,merchant_workbook_pivot_table!$B$2:$B$444,J439)&gt;5000),"High-Value Merchant Day",IF(AND(L439&lt;&gt;"East",SUMIFS(merchant_workbook_pivot_table!$D$2:$D$444,merchant_workbook_pivot_table!$C$2:$C$444,E439,merchant_workbook_pivot_table!$B$2:$B$444,J439)&gt;1000),"Mid-Value Merchant Day",""))</f>
        <v xml:space="preserve">Mid-Value Merchant Day</v>
      </c>
    </row>
    <row r="440">
      <c r="A440" s="3" t="s">
        <v>507</v>
      </c>
      <c r="B440" s="2">
        <v>276</v>
      </c>
      <c r="C440" s="2">
        <v>31</v>
      </c>
      <c r="D440" s="8" t="s">
        <v>1058</v>
      </c>
      <c r="E440" s="6" t="str">
        <f t="shared" si="12"/>
        <v>2026-01-10</v>
      </c>
      <c r="F440" s="2">
        <v>499</v>
      </c>
      <c r="G440" s="3" t="s">
        <v>66</v>
      </c>
      <c r="H440" s="3" t="s">
        <v>64</v>
      </c>
      <c r="I440" s="2">
        <v>30</v>
      </c>
      <c r="J440" s="6" t="str">
        <f>_xlfn.IFNA(VLOOKUP(C440,merchants!$A$1:$D$41,2,0),"Merchant not found")</f>
        <v>Merchant_031</v>
      </c>
      <c r="K440" s="6" t="str">
        <f>_xlfn.IFNA(VLOOKUP(C440,merchants!$A$1:$D$41,3,0),"Merchant not found")</f>
        <v>bill_payment</v>
      </c>
      <c r="L440" s="6" t="str">
        <f>_xlfn.IFNA(VLOOKUP(C440,merchants!$A$1:$D$41,4,0),"Merchant not found")</f>
        <v>East</v>
      </c>
      <c r="M440" s="9">
        <f t="shared" si="13"/>
        <v>0</v>
      </c>
      <c r="N440" s="6" t="str">
        <f>IF(AND(L440&lt;&gt;"East",SUMIFS(merchant_workbook_pivot_table!$D$2:$D$444,merchant_workbook_pivot_table!$C$2:$C$444,E440,merchant_workbook_pivot_table!$B$2:$B$444,J440)&gt;5000),"High-Value Merchant Day",IF(AND(L440&lt;&gt;"East",SUMIFS(merchant_workbook_pivot_table!$D$2:$D$444,merchant_workbook_pivot_table!$C$2:$C$444,E440,merchant_workbook_pivot_table!$B$2:$B$444,J440)&gt;1000),"Mid-Value Merchant Day",""))</f>
        <v/>
      </c>
    </row>
    <row r="441">
      <c r="A441" s="3" t="s">
        <v>508</v>
      </c>
      <c r="B441" s="2">
        <v>74</v>
      </c>
      <c r="C441" s="2">
        <v>30</v>
      </c>
      <c r="D441" s="8" t="s">
        <v>1059</v>
      </c>
      <c r="E441" s="6" t="str">
        <f t="shared" si="12"/>
        <v>2026-01-28</v>
      </c>
      <c r="F441" s="2">
        <v>49</v>
      </c>
      <c r="G441" s="3" t="s">
        <v>66</v>
      </c>
      <c r="H441" s="3" t="s">
        <v>64</v>
      </c>
      <c r="I441" s="2">
        <v>7</v>
      </c>
      <c r="J441" s="6" t="str">
        <f>_xlfn.IFNA(VLOOKUP(C441,merchants!$A$1:$D$41,2,0),"Merchant not found")</f>
        <v>Merchant_030</v>
      </c>
      <c r="K441" s="6" t="str">
        <f>_xlfn.IFNA(VLOOKUP(C441,merchants!$A$1:$D$41,3,0),"Merchant not found")</f>
        <v>travel</v>
      </c>
      <c r="L441" s="6" t="str">
        <f>_xlfn.IFNA(VLOOKUP(C441,merchants!$A$1:$D$41,4,0),"Merchant not found")</f>
        <v>West</v>
      </c>
      <c r="M441" s="9">
        <f t="shared" si="13"/>
        <v>0</v>
      </c>
      <c r="N441" s="6" t="str">
        <f>IF(AND(L441&lt;&gt;"East",SUMIFS(merchant_workbook_pivot_table!$D$2:$D$444,merchant_workbook_pivot_table!$C$2:$C$444,E441,merchant_workbook_pivot_table!$B$2:$B$444,J441)&gt;5000),"High-Value Merchant Day",IF(AND(L441&lt;&gt;"East",SUMIFS(merchant_workbook_pivot_table!$D$2:$D$444,merchant_workbook_pivot_table!$C$2:$C$444,E441,merchant_workbook_pivot_table!$B$2:$B$444,J441)&gt;1000),"Mid-Value Merchant Day",""))</f>
        <v/>
      </c>
    </row>
    <row r="442">
      <c r="A442" s="3" t="s">
        <v>509</v>
      </c>
      <c r="B442" s="2">
        <v>286</v>
      </c>
      <c r="C442" s="2">
        <v>34</v>
      </c>
      <c r="D442" s="8" t="s">
        <v>1060</v>
      </c>
      <c r="E442" s="6" t="str">
        <f t="shared" si="12"/>
        <v>2026-01-18</v>
      </c>
      <c r="F442" s="2">
        <v>49</v>
      </c>
      <c r="G442" s="3" t="s">
        <v>78</v>
      </c>
      <c r="H442" s="3" t="s">
        <v>64</v>
      </c>
      <c r="I442" s="2">
        <v>17</v>
      </c>
      <c r="J442" s="6" t="str">
        <f>_xlfn.IFNA(VLOOKUP(C442,merchants!$A$1:$D$41,2,0),"Merchant not found")</f>
        <v>Merchant_034</v>
      </c>
      <c r="K442" s="6" t="str">
        <f>_xlfn.IFNA(VLOOKUP(C442,merchants!$A$1:$D$41,3,0),"Merchant not found")</f>
        <v>travel</v>
      </c>
      <c r="L442" s="6" t="str">
        <f>_xlfn.IFNA(VLOOKUP(C442,merchants!$A$1:$D$41,4,0),"Merchant not found")</f>
        <v>South</v>
      </c>
      <c r="M442" s="9">
        <f t="shared" si="13"/>
        <v>0.97999999999999998</v>
      </c>
      <c r="N442" s="6" t="str">
        <f>IF(AND(L442&lt;&gt;"East",SUMIFS(merchant_workbook_pivot_table!$D$2:$D$444,merchant_workbook_pivot_table!$C$2:$C$444,E442,merchant_workbook_pivot_table!$B$2:$B$444,J442)&gt;5000),"High-Value Merchant Day",IF(AND(L442&lt;&gt;"East",SUMIFS(merchant_workbook_pivot_table!$D$2:$D$444,merchant_workbook_pivot_table!$C$2:$C$444,E442,merchant_workbook_pivot_table!$B$2:$B$444,J442)&gt;1000),"Mid-Value Merchant Day",""))</f>
        <v/>
      </c>
    </row>
    <row r="443">
      <c r="A443" s="3" t="s">
        <v>510</v>
      </c>
      <c r="B443" s="2">
        <v>105</v>
      </c>
      <c r="C443" s="2">
        <v>22</v>
      </c>
      <c r="D443" s="8" t="s">
        <v>1061</v>
      </c>
      <c r="E443" s="6" t="str">
        <f t="shared" si="12"/>
        <v>2026-01-13</v>
      </c>
      <c r="F443" s="2">
        <v>4999</v>
      </c>
      <c r="G443" s="3" t="s">
        <v>66</v>
      </c>
      <c r="H443" s="3" t="s">
        <v>64</v>
      </c>
      <c r="I443" s="2">
        <v>82</v>
      </c>
      <c r="J443" s="6" t="str">
        <f>_xlfn.IFNA(VLOOKUP(C443,merchants!$A$1:$D$41,2,0),"Merchant not found")</f>
        <v>Merchant_022</v>
      </c>
      <c r="K443" s="6" t="str">
        <f>_xlfn.IFNA(VLOOKUP(C443,merchants!$A$1:$D$41,3,0),"Merchant not found")</f>
        <v>travel</v>
      </c>
      <c r="L443" s="6" t="str">
        <f>_xlfn.IFNA(VLOOKUP(C443,merchants!$A$1:$D$41,4,0),"Merchant not found")</f>
        <v>South</v>
      </c>
      <c r="M443" s="9">
        <f t="shared" si="13"/>
        <v>0</v>
      </c>
      <c r="N443" s="6" t="str">
        <f>IF(AND(L443&lt;&gt;"East",SUMIFS(merchant_workbook_pivot_table!$D$2:$D$444,merchant_workbook_pivot_table!$C$2:$C$444,E443,merchant_workbook_pivot_table!$B$2:$B$444,J443)&gt;5000),"High-Value Merchant Day",IF(AND(L443&lt;&gt;"East",SUMIFS(merchant_workbook_pivot_table!$D$2:$D$444,merchant_workbook_pivot_table!$C$2:$C$444,E443,merchant_workbook_pivot_table!$B$2:$B$444,J443)&gt;1000),"Mid-Value Merchant Day",""))</f>
        <v xml:space="preserve">High-Value Merchant Day</v>
      </c>
    </row>
    <row r="444">
      <c r="A444" s="3" t="s">
        <v>511</v>
      </c>
      <c r="B444" s="2">
        <v>190</v>
      </c>
      <c r="C444" s="2">
        <v>6</v>
      </c>
      <c r="D444" s="8" t="s">
        <v>1062</v>
      </c>
      <c r="E444" s="6" t="str">
        <f t="shared" si="12"/>
        <v>2026-01-03</v>
      </c>
      <c r="F444" s="2">
        <v>799</v>
      </c>
      <c r="G444" s="3" t="s">
        <v>63</v>
      </c>
      <c r="H444" s="3" t="s">
        <v>64</v>
      </c>
      <c r="I444" s="2">
        <v>68</v>
      </c>
      <c r="J444" s="6" t="str">
        <f>_xlfn.IFNA(VLOOKUP(C444,merchants!$A$1:$D$41,2,0),"Merchant not found")</f>
        <v>Merchant_006</v>
      </c>
      <c r="K444" s="6" t="str">
        <f>_xlfn.IFNA(VLOOKUP(C444,merchants!$A$1:$D$41,3,0),"Merchant not found")</f>
        <v>food_delivery</v>
      </c>
      <c r="L444" s="6" t="str">
        <f>_xlfn.IFNA(VLOOKUP(C444,merchants!$A$1:$D$41,4,0),"Merchant not found")</f>
        <v>South</v>
      </c>
      <c r="M444" s="9">
        <f t="shared" si="13"/>
        <v>11.984999999999999</v>
      </c>
      <c r="N444" s="6" t="str">
        <f>IF(AND(L444&lt;&gt;"East",SUMIFS(merchant_workbook_pivot_table!$D$2:$D$444,merchant_workbook_pivot_table!$C$2:$C$444,E444,merchant_workbook_pivot_table!$B$2:$B$444,J444)&gt;5000),"High-Value Merchant Day",IF(AND(L444&lt;&gt;"East",SUMIFS(merchant_workbook_pivot_table!$D$2:$D$444,merchant_workbook_pivot_table!$C$2:$C$444,E444,merchant_workbook_pivot_table!$B$2:$B$444,J444)&gt;1000),"Mid-Value Merchant Day",""))</f>
        <v/>
      </c>
    </row>
    <row r="445">
      <c r="A445" s="3" t="s">
        <v>512</v>
      </c>
      <c r="B445" s="2">
        <v>138</v>
      </c>
      <c r="C445" s="2">
        <v>25</v>
      </c>
      <c r="D445" s="8" t="s">
        <v>1063</v>
      </c>
      <c r="E445" s="6" t="str">
        <f t="shared" si="12"/>
        <v>2026-01-24</v>
      </c>
      <c r="F445" s="2">
        <v>299</v>
      </c>
      <c r="G445" s="3" t="s">
        <v>63</v>
      </c>
      <c r="H445" s="3" t="s">
        <v>64</v>
      </c>
      <c r="I445" s="2">
        <v>86</v>
      </c>
      <c r="J445" s="6" t="str">
        <f>_xlfn.IFNA(VLOOKUP(C445,merchants!$A$1:$D$41,2,0),"Merchant not found")</f>
        <v>Merchant_025</v>
      </c>
      <c r="K445" s="6" t="str">
        <f>_xlfn.IFNA(VLOOKUP(C445,merchants!$A$1:$D$41,3,0),"Merchant not found")</f>
        <v>travel</v>
      </c>
      <c r="L445" s="6" t="str">
        <f>_xlfn.IFNA(VLOOKUP(C445,merchants!$A$1:$D$41,4,0),"Merchant not found")</f>
        <v>South</v>
      </c>
      <c r="M445" s="9">
        <f t="shared" si="13"/>
        <v>4.4849999999999994</v>
      </c>
      <c r="N445" s="6" t="str">
        <f>IF(AND(L445&lt;&gt;"East",SUMIFS(merchant_workbook_pivot_table!$D$2:$D$444,merchant_workbook_pivot_table!$C$2:$C$444,E445,merchant_workbook_pivot_table!$B$2:$B$444,J445)&gt;5000),"High-Value Merchant Day",IF(AND(L445&lt;&gt;"East",SUMIFS(merchant_workbook_pivot_table!$D$2:$D$444,merchant_workbook_pivot_table!$C$2:$C$444,E445,merchant_workbook_pivot_table!$B$2:$B$444,J445)&gt;1000),"Mid-Value Merchant Day",""))</f>
        <v/>
      </c>
    </row>
    <row r="446">
      <c r="A446" s="3" t="s">
        <v>513</v>
      </c>
      <c r="B446" s="2">
        <v>38</v>
      </c>
      <c r="C446" s="2">
        <v>13</v>
      </c>
      <c r="D446" s="8" t="s">
        <v>1064</v>
      </c>
      <c r="E446" s="6" t="str">
        <f t="shared" si="12"/>
        <v>2026-01-20</v>
      </c>
      <c r="F446" s="2">
        <v>4999</v>
      </c>
      <c r="G446" s="3" t="s">
        <v>69</v>
      </c>
      <c r="H446" s="3" t="s">
        <v>64</v>
      </c>
      <c r="I446" s="2">
        <v>97</v>
      </c>
      <c r="J446" s="6" t="str">
        <f>_xlfn.IFNA(VLOOKUP(C446,merchants!$A$1:$D$41,2,0),"Merchant not found")</f>
        <v>Merchant_013</v>
      </c>
      <c r="K446" s="6" t="str">
        <f>_xlfn.IFNA(VLOOKUP(C446,merchants!$A$1:$D$41,3,0),"Merchant not found")</f>
        <v>travel</v>
      </c>
      <c r="L446" s="6" t="str">
        <f>_xlfn.IFNA(VLOOKUP(C446,merchants!$A$1:$D$41,4,0),"Merchant not found")</f>
        <v>East</v>
      </c>
      <c r="M446" s="9">
        <f t="shared" si="13"/>
        <v>49.990000000000002</v>
      </c>
      <c r="N446" s="6" t="str">
        <f>IF(AND(L446&lt;&gt;"East",SUMIFS(merchant_workbook_pivot_table!$D$2:$D$444,merchant_workbook_pivot_table!$C$2:$C$444,E446,merchant_workbook_pivot_table!$B$2:$B$444,J446)&gt;5000),"High-Value Merchant Day",IF(AND(L446&lt;&gt;"East",SUMIFS(merchant_workbook_pivot_table!$D$2:$D$444,merchant_workbook_pivot_table!$C$2:$C$444,E446,merchant_workbook_pivot_table!$B$2:$B$444,J446)&gt;1000),"Mid-Value Merchant Day",""))</f>
        <v/>
      </c>
    </row>
    <row r="447">
      <c r="A447" s="3" t="s">
        <v>514</v>
      </c>
      <c r="B447" s="2">
        <v>287</v>
      </c>
      <c r="C447" s="2">
        <v>14</v>
      </c>
      <c r="D447" s="8" t="s">
        <v>1065</v>
      </c>
      <c r="E447" s="6" t="str">
        <f t="shared" si="12"/>
        <v>2026-01-19</v>
      </c>
      <c r="F447" s="2">
        <v>99</v>
      </c>
      <c r="G447" s="3" t="s">
        <v>63</v>
      </c>
      <c r="H447" s="3" t="s">
        <v>64</v>
      </c>
      <c r="I447" s="2">
        <v>61</v>
      </c>
      <c r="J447" s="6" t="str">
        <f>_xlfn.IFNA(VLOOKUP(C447,merchants!$A$1:$D$41,2,0),"Merchant not found")</f>
        <v>Merchant_014</v>
      </c>
      <c r="K447" s="6" t="str">
        <f>_xlfn.IFNA(VLOOKUP(C447,merchants!$A$1:$D$41,3,0),"Merchant not found")</f>
        <v>grocery</v>
      </c>
      <c r="L447" s="6" t="str">
        <f>_xlfn.IFNA(VLOOKUP(C447,merchants!$A$1:$D$41,4,0),"Merchant not found")</f>
        <v>East</v>
      </c>
      <c r="M447" s="9">
        <f t="shared" si="13"/>
        <v>1.4849999999999999</v>
      </c>
      <c r="N447" s="6" t="str">
        <f>IF(AND(L447&lt;&gt;"East",SUMIFS(merchant_workbook_pivot_table!$D$2:$D$444,merchant_workbook_pivot_table!$C$2:$C$444,E447,merchant_workbook_pivot_table!$B$2:$B$444,J447)&gt;5000),"High-Value Merchant Day",IF(AND(L447&lt;&gt;"East",SUMIFS(merchant_workbook_pivot_table!$D$2:$D$444,merchant_workbook_pivot_table!$C$2:$C$444,E447,merchant_workbook_pivot_table!$B$2:$B$444,J447)&gt;1000),"Mid-Value Merchant Day",""))</f>
        <v/>
      </c>
    </row>
    <row r="448">
      <c r="A448" s="3" t="s">
        <v>515</v>
      </c>
      <c r="B448" s="2">
        <v>8</v>
      </c>
      <c r="C448" s="2">
        <v>14</v>
      </c>
      <c r="D448" s="8" t="s">
        <v>1066</v>
      </c>
      <c r="E448" s="6" t="str">
        <f t="shared" si="12"/>
        <v>2026-01-07</v>
      </c>
      <c r="F448" s="2">
        <v>49</v>
      </c>
      <c r="G448" s="3" t="s">
        <v>66</v>
      </c>
      <c r="H448" s="3" t="s">
        <v>64</v>
      </c>
      <c r="I448" s="2">
        <v>24</v>
      </c>
      <c r="J448" s="6" t="str">
        <f>_xlfn.IFNA(VLOOKUP(C448,merchants!$A$1:$D$41,2,0),"Merchant not found")</f>
        <v>Merchant_014</v>
      </c>
      <c r="K448" s="6" t="str">
        <f>_xlfn.IFNA(VLOOKUP(C448,merchants!$A$1:$D$41,3,0),"Merchant not found")</f>
        <v>grocery</v>
      </c>
      <c r="L448" s="6" t="str">
        <f>_xlfn.IFNA(VLOOKUP(C448,merchants!$A$1:$D$41,4,0),"Merchant not found")</f>
        <v>East</v>
      </c>
      <c r="M448" s="9">
        <f t="shared" si="13"/>
        <v>0</v>
      </c>
      <c r="N448" s="6" t="str">
        <f>IF(AND(L448&lt;&gt;"East",SUMIFS(merchant_workbook_pivot_table!$D$2:$D$444,merchant_workbook_pivot_table!$C$2:$C$444,E448,merchant_workbook_pivot_table!$B$2:$B$444,J448)&gt;5000),"High-Value Merchant Day",IF(AND(L448&lt;&gt;"East",SUMIFS(merchant_workbook_pivot_table!$D$2:$D$444,merchant_workbook_pivot_table!$C$2:$C$444,E448,merchant_workbook_pivot_table!$B$2:$B$444,J448)&gt;1000),"Mid-Value Merchant Day",""))</f>
        <v/>
      </c>
    </row>
    <row r="449">
      <c r="A449" s="3" t="s">
        <v>516</v>
      </c>
      <c r="B449" s="2">
        <v>246</v>
      </c>
      <c r="C449" s="2">
        <v>16</v>
      </c>
      <c r="D449" s="8" t="s">
        <v>1067</v>
      </c>
      <c r="E449" s="6" t="str">
        <f t="shared" si="12"/>
        <v>2026-01-24</v>
      </c>
      <c r="F449" s="2">
        <v>1499</v>
      </c>
      <c r="G449" s="3" t="s">
        <v>63</v>
      </c>
      <c r="H449" s="3" t="s">
        <v>64</v>
      </c>
      <c r="I449" s="2">
        <v>89</v>
      </c>
      <c r="J449" s="6" t="str">
        <f>_xlfn.IFNA(VLOOKUP(C449,merchants!$A$1:$D$41,2,0),"Merchant not found")</f>
        <v>Merchant_016</v>
      </c>
      <c r="K449" s="6" t="str">
        <f>_xlfn.IFNA(VLOOKUP(C449,merchants!$A$1:$D$41,3,0),"Merchant not found")</f>
        <v>bill_payment</v>
      </c>
      <c r="L449" s="6" t="str">
        <f>_xlfn.IFNA(VLOOKUP(C449,merchants!$A$1:$D$41,4,0),"Merchant not found")</f>
        <v>West</v>
      </c>
      <c r="M449" s="9">
        <f t="shared" si="13"/>
        <v>22.484999999999999</v>
      </c>
      <c r="N449" s="6" t="str">
        <f>IF(AND(L449&lt;&gt;"East",SUMIFS(merchant_workbook_pivot_table!$D$2:$D$444,merchant_workbook_pivot_table!$C$2:$C$444,E449,merchant_workbook_pivot_table!$B$2:$B$444,J449)&gt;5000),"High-Value Merchant Day",IF(AND(L449&lt;&gt;"East",SUMIFS(merchant_workbook_pivot_table!$D$2:$D$444,merchant_workbook_pivot_table!$C$2:$C$444,E449,merchant_workbook_pivot_table!$B$2:$B$444,J449)&gt;1000),"Mid-Value Merchant Day",""))</f>
        <v xml:space="preserve">Mid-Value Merchant Day</v>
      </c>
    </row>
    <row r="450">
      <c r="A450" s="3" t="s">
        <v>517</v>
      </c>
      <c r="B450" s="2">
        <v>204</v>
      </c>
      <c r="C450" s="2">
        <v>16</v>
      </c>
      <c r="D450" s="8" t="s">
        <v>1068</v>
      </c>
      <c r="E450" s="6" t="str">
        <f t="shared" ref="E450:E513" si="14">LEFT(D450,10)</f>
        <v>2026-01-20</v>
      </c>
      <c r="F450" s="2">
        <v>149</v>
      </c>
      <c r="G450" s="3" t="s">
        <v>66</v>
      </c>
      <c r="H450" s="3" t="s">
        <v>64</v>
      </c>
      <c r="I450" s="2">
        <v>70</v>
      </c>
      <c r="J450" s="6" t="str">
        <f>_xlfn.IFNA(VLOOKUP(C450,merchants!$A$1:$D$41,2,0),"Merchant not found")</f>
        <v>Merchant_016</v>
      </c>
      <c r="K450" s="6" t="str">
        <f>_xlfn.IFNA(VLOOKUP(C450,merchants!$A$1:$D$41,3,0),"Merchant not found")</f>
        <v>bill_payment</v>
      </c>
      <c r="L450" s="6" t="str">
        <f>_xlfn.IFNA(VLOOKUP(C450,merchants!$A$1:$D$41,4,0),"Merchant not found")</f>
        <v>West</v>
      </c>
      <c r="M450" s="9">
        <f t="shared" ref="M450:M513" si="15">F450*(HLOOKUP(G450,$Q$1:$T$2,2,0))</f>
        <v>0</v>
      </c>
      <c r="N450" s="6" t="str">
        <f>IF(AND(L450&lt;&gt;"East",SUMIFS(merchant_workbook_pivot_table!$D$2:$D$444,merchant_workbook_pivot_table!$C$2:$C$444,E450,merchant_workbook_pivot_table!$B$2:$B$444,J450)&gt;5000),"High-Value Merchant Day",IF(AND(L450&lt;&gt;"East",SUMIFS(merchant_workbook_pivot_table!$D$2:$D$444,merchant_workbook_pivot_table!$C$2:$C$444,E450,merchant_workbook_pivot_table!$B$2:$B$444,J450)&gt;1000),"Mid-Value Merchant Day",""))</f>
        <v/>
      </c>
    </row>
    <row r="451">
      <c r="A451" s="3" t="s">
        <v>518</v>
      </c>
      <c r="B451" s="2">
        <v>239</v>
      </c>
      <c r="C451" s="2">
        <v>35</v>
      </c>
      <c r="D451" s="8" t="s">
        <v>1069</v>
      </c>
      <c r="E451" s="6" t="str">
        <f t="shared" si="14"/>
        <v>2026-01-11</v>
      </c>
      <c r="F451" s="2">
        <v>4999</v>
      </c>
      <c r="G451" s="3" t="s">
        <v>66</v>
      </c>
      <c r="H451" s="3" t="s">
        <v>64</v>
      </c>
      <c r="I451" s="2">
        <v>83</v>
      </c>
      <c r="J451" s="6" t="str">
        <f>_xlfn.IFNA(VLOOKUP(C451,merchants!$A$1:$D$41,2,0),"Merchant not found")</f>
        <v>Merchant_035</v>
      </c>
      <c r="K451" s="6" t="str">
        <f>_xlfn.IFNA(VLOOKUP(C451,merchants!$A$1:$D$41,3,0),"Merchant not found")</f>
        <v>recharge</v>
      </c>
      <c r="L451" s="6" t="str">
        <f>_xlfn.IFNA(VLOOKUP(C451,merchants!$A$1:$D$41,4,0),"Merchant not found")</f>
        <v>East</v>
      </c>
      <c r="M451" s="9">
        <f t="shared" si="15"/>
        <v>0</v>
      </c>
      <c r="N451" s="6" t="str">
        <f>IF(AND(L451&lt;&gt;"East",SUMIFS(merchant_workbook_pivot_table!$D$2:$D$444,merchant_workbook_pivot_table!$C$2:$C$444,E451,merchant_workbook_pivot_table!$B$2:$B$444,J451)&gt;5000),"High-Value Merchant Day",IF(AND(L451&lt;&gt;"East",SUMIFS(merchant_workbook_pivot_table!$D$2:$D$444,merchant_workbook_pivot_table!$C$2:$C$444,E451,merchant_workbook_pivot_table!$B$2:$B$444,J451)&gt;1000),"Mid-Value Merchant Day",""))</f>
        <v/>
      </c>
    </row>
    <row r="452">
      <c r="A452" s="3" t="s">
        <v>519</v>
      </c>
      <c r="B452" s="2">
        <v>185</v>
      </c>
      <c r="C452" s="2">
        <v>33</v>
      </c>
      <c r="D452" s="8" t="s">
        <v>1070</v>
      </c>
      <c r="E452" s="6" t="str">
        <f t="shared" si="14"/>
        <v>2026-01-12</v>
      </c>
      <c r="F452" s="2">
        <v>299</v>
      </c>
      <c r="G452" s="3" t="s">
        <v>66</v>
      </c>
      <c r="H452" s="3" t="s">
        <v>64</v>
      </c>
      <c r="I452" s="2">
        <v>63</v>
      </c>
      <c r="J452" s="6" t="str">
        <f>_xlfn.IFNA(VLOOKUP(C452,merchants!$A$1:$D$41,2,0),"Merchant not found")</f>
        <v>Merchant_033</v>
      </c>
      <c r="K452" s="6" t="str">
        <f>_xlfn.IFNA(VLOOKUP(C452,merchants!$A$1:$D$41,3,0),"Merchant not found")</f>
        <v>bill_payment</v>
      </c>
      <c r="L452" s="6" t="str">
        <f>_xlfn.IFNA(VLOOKUP(C452,merchants!$A$1:$D$41,4,0),"Merchant not found")</f>
        <v>East</v>
      </c>
      <c r="M452" s="9">
        <f t="shared" si="15"/>
        <v>0</v>
      </c>
      <c r="N452" s="6" t="str">
        <f>IF(AND(L452&lt;&gt;"East",SUMIFS(merchant_workbook_pivot_table!$D$2:$D$444,merchant_workbook_pivot_table!$C$2:$C$444,E452,merchant_workbook_pivot_table!$B$2:$B$444,J452)&gt;5000),"High-Value Merchant Day",IF(AND(L452&lt;&gt;"East",SUMIFS(merchant_workbook_pivot_table!$D$2:$D$444,merchant_workbook_pivot_table!$C$2:$C$444,E452,merchant_workbook_pivot_table!$B$2:$B$444,J452)&gt;1000),"Mid-Value Merchant Day",""))</f>
        <v/>
      </c>
    </row>
    <row r="453">
      <c r="A453" s="3" t="s">
        <v>520</v>
      </c>
      <c r="B453" s="2">
        <v>241</v>
      </c>
      <c r="C453" s="2">
        <v>21</v>
      </c>
      <c r="D453" s="8" t="s">
        <v>1071</v>
      </c>
      <c r="E453" s="6" t="str">
        <f t="shared" si="14"/>
        <v>2026-01-15</v>
      </c>
      <c r="F453" s="2">
        <v>299</v>
      </c>
      <c r="G453" s="3" t="s">
        <v>78</v>
      </c>
      <c r="H453" s="3" t="s">
        <v>64</v>
      </c>
      <c r="I453" s="2">
        <v>26</v>
      </c>
      <c r="J453" s="6" t="str">
        <f>_xlfn.IFNA(VLOOKUP(C453,merchants!$A$1:$D$41,2,0),"Merchant not found")</f>
        <v>Merchant_021</v>
      </c>
      <c r="K453" s="6" t="str">
        <f>_xlfn.IFNA(VLOOKUP(C453,merchants!$A$1:$D$41,3,0),"Merchant not found")</f>
        <v>food_delivery</v>
      </c>
      <c r="L453" s="6" t="str">
        <f>_xlfn.IFNA(VLOOKUP(C453,merchants!$A$1:$D$41,4,0),"Merchant not found")</f>
        <v>East</v>
      </c>
      <c r="M453" s="9">
        <f t="shared" si="15"/>
        <v>5.9800000000000004</v>
      </c>
      <c r="N453" s="6" t="str">
        <f>IF(AND(L453&lt;&gt;"East",SUMIFS(merchant_workbook_pivot_table!$D$2:$D$444,merchant_workbook_pivot_table!$C$2:$C$444,E453,merchant_workbook_pivot_table!$B$2:$B$444,J453)&gt;5000),"High-Value Merchant Day",IF(AND(L453&lt;&gt;"East",SUMIFS(merchant_workbook_pivot_table!$D$2:$D$444,merchant_workbook_pivot_table!$C$2:$C$444,E453,merchant_workbook_pivot_table!$B$2:$B$444,J453)&gt;1000),"Mid-Value Merchant Day",""))</f>
        <v/>
      </c>
    </row>
    <row r="454">
      <c r="A454" s="3" t="s">
        <v>521</v>
      </c>
      <c r="B454" s="2">
        <v>24</v>
      </c>
      <c r="C454" s="2">
        <v>37</v>
      </c>
      <c r="D454" s="8" t="s">
        <v>1072</v>
      </c>
      <c r="E454" s="6" t="str">
        <f t="shared" si="14"/>
        <v>2026-01-12</v>
      </c>
      <c r="F454" s="2">
        <v>149</v>
      </c>
      <c r="G454" s="3" t="s">
        <v>66</v>
      </c>
      <c r="H454" s="3" t="s">
        <v>64</v>
      </c>
      <c r="I454" s="2">
        <v>28</v>
      </c>
      <c r="J454" s="6" t="str">
        <f>_xlfn.IFNA(VLOOKUP(C454,merchants!$A$1:$D$41,2,0),"Merchant not found")</f>
        <v>Merchant_037</v>
      </c>
      <c r="K454" s="6" t="str">
        <f>_xlfn.IFNA(VLOOKUP(C454,merchants!$A$1:$D$41,3,0),"Merchant not found")</f>
        <v>entertainment</v>
      </c>
      <c r="L454" s="6" t="str">
        <f>_xlfn.IFNA(VLOOKUP(C454,merchants!$A$1:$D$41,4,0),"Merchant not found")</f>
        <v>South</v>
      </c>
      <c r="M454" s="9">
        <f t="shared" si="15"/>
        <v>0</v>
      </c>
      <c r="N454" s="6" t="str">
        <f>IF(AND(L454&lt;&gt;"East",SUMIFS(merchant_workbook_pivot_table!$D$2:$D$444,merchant_workbook_pivot_table!$C$2:$C$444,E454,merchant_workbook_pivot_table!$B$2:$B$444,J454)&gt;5000),"High-Value Merchant Day",IF(AND(L454&lt;&gt;"East",SUMIFS(merchant_workbook_pivot_table!$D$2:$D$444,merchant_workbook_pivot_table!$C$2:$C$444,E454,merchant_workbook_pivot_table!$B$2:$B$444,J454)&gt;1000),"Mid-Value Merchant Day",""))</f>
        <v/>
      </c>
    </row>
    <row r="455">
      <c r="A455" s="3" t="s">
        <v>522</v>
      </c>
      <c r="B455" s="2">
        <v>134</v>
      </c>
      <c r="C455" s="2">
        <v>36</v>
      </c>
      <c r="D455" s="8" t="s">
        <v>1073</v>
      </c>
      <c r="E455" s="6" t="str">
        <f t="shared" si="14"/>
        <v>2026-01-24</v>
      </c>
      <c r="F455" s="2">
        <v>1499</v>
      </c>
      <c r="G455" s="3" t="s">
        <v>66</v>
      </c>
      <c r="H455" s="3" t="s">
        <v>64</v>
      </c>
      <c r="I455" s="2">
        <v>74</v>
      </c>
      <c r="J455" s="6" t="str">
        <f>_xlfn.IFNA(VLOOKUP(C455,merchants!$A$1:$D$41,2,0),"Merchant not found")</f>
        <v>Merchant_036</v>
      </c>
      <c r="K455" s="6" t="str">
        <f>_xlfn.IFNA(VLOOKUP(C455,merchants!$A$1:$D$41,3,0),"Merchant not found")</f>
        <v>entertainment</v>
      </c>
      <c r="L455" s="6" t="str">
        <f>_xlfn.IFNA(VLOOKUP(C455,merchants!$A$1:$D$41,4,0),"Merchant not found")</f>
        <v>East</v>
      </c>
      <c r="M455" s="9">
        <f t="shared" si="15"/>
        <v>0</v>
      </c>
      <c r="N455" s="6" t="str">
        <f>IF(AND(L455&lt;&gt;"East",SUMIFS(merchant_workbook_pivot_table!$D$2:$D$444,merchant_workbook_pivot_table!$C$2:$C$444,E455,merchant_workbook_pivot_table!$B$2:$B$444,J455)&gt;5000),"High-Value Merchant Day",IF(AND(L455&lt;&gt;"East",SUMIFS(merchant_workbook_pivot_table!$D$2:$D$444,merchant_workbook_pivot_table!$C$2:$C$444,E455,merchant_workbook_pivot_table!$B$2:$B$444,J455)&gt;1000),"Mid-Value Merchant Day",""))</f>
        <v/>
      </c>
    </row>
    <row r="456">
      <c r="A456" s="3" t="s">
        <v>523</v>
      </c>
      <c r="B456" s="2">
        <v>152</v>
      </c>
      <c r="C456" s="2">
        <v>10</v>
      </c>
      <c r="D456" s="8" t="s">
        <v>1074</v>
      </c>
      <c r="E456" s="6" t="str">
        <f t="shared" si="14"/>
        <v>2026-01-19</v>
      </c>
      <c r="F456" s="2">
        <v>499</v>
      </c>
      <c r="G456" s="3" t="s">
        <v>63</v>
      </c>
      <c r="H456" s="3" t="s">
        <v>64</v>
      </c>
      <c r="I456" s="2">
        <v>25</v>
      </c>
      <c r="J456" s="6" t="str">
        <f>_xlfn.IFNA(VLOOKUP(C456,merchants!$A$1:$D$41,2,0),"Merchant not found")</f>
        <v>Merchant_010</v>
      </c>
      <c r="K456" s="6" t="str">
        <f>_xlfn.IFNA(VLOOKUP(C456,merchants!$A$1:$D$41,3,0),"Merchant not found")</f>
        <v>grocery</v>
      </c>
      <c r="L456" s="6" t="str">
        <f>_xlfn.IFNA(VLOOKUP(C456,merchants!$A$1:$D$41,4,0),"Merchant not found")</f>
        <v>West</v>
      </c>
      <c r="M456" s="9">
        <f t="shared" si="15"/>
        <v>7.4849999999999994</v>
      </c>
      <c r="N456" s="6" t="str">
        <f>IF(AND(L456&lt;&gt;"East",SUMIFS(merchant_workbook_pivot_table!$D$2:$D$444,merchant_workbook_pivot_table!$C$2:$C$444,E456,merchant_workbook_pivot_table!$B$2:$B$444,J456)&gt;5000),"High-Value Merchant Day",IF(AND(L456&lt;&gt;"East",SUMIFS(merchant_workbook_pivot_table!$D$2:$D$444,merchant_workbook_pivot_table!$C$2:$C$444,E456,merchant_workbook_pivot_table!$B$2:$B$444,J456)&gt;1000),"Mid-Value Merchant Day",""))</f>
        <v/>
      </c>
    </row>
    <row r="457">
      <c r="A457" s="3" t="s">
        <v>524</v>
      </c>
      <c r="B457" s="2">
        <v>292</v>
      </c>
      <c r="C457" s="2">
        <v>16</v>
      </c>
      <c r="D457" s="8" t="s">
        <v>1075</v>
      </c>
      <c r="E457" s="6" t="str">
        <f t="shared" si="14"/>
        <v>2026-01-11</v>
      </c>
      <c r="F457" s="2">
        <v>499</v>
      </c>
      <c r="G457" s="3" t="s">
        <v>69</v>
      </c>
      <c r="H457" s="3" t="s">
        <v>64</v>
      </c>
      <c r="I457" s="2">
        <v>63</v>
      </c>
      <c r="J457" s="6" t="str">
        <f>_xlfn.IFNA(VLOOKUP(C457,merchants!$A$1:$D$41,2,0),"Merchant not found")</f>
        <v>Merchant_016</v>
      </c>
      <c r="K457" s="6" t="str">
        <f>_xlfn.IFNA(VLOOKUP(C457,merchants!$A$1:$D$41,3,0),"Merchant not found")</f>
        <v>bill_payment</v>
      </c>
      <c r="L457" s="6" t="str">
        <f>_xlfn.IFNA(VLOOKUP(C457,merchants!$A$1:$D$41,4,0),"Merchant not found")</f>
        <v>West</v>
      </c>
      <c r="M457" s="9">
        <f t="shared" si="15"/>
        <v>4.9900000000000002</v>
      </c>
      <c r="N457" s="6" t="str">
        <f>IF(AND(L457&lt;&gt;"East",SUMIFS(merchant_workbook_pivot_table!$D$2:$D$444,merchant_workbook_pivot_table!$C$2:$C$444,E457,merchant_workbook_pivot_table!$B$2:$B$444,J457)&gt;5000),"High-Value Merchant Day",IF(AND(L457&lt;&gt;"East",SUMIFS(merchant_workbook_pivot_table!$D$2:$D$444,merchant_workbook_pivot_table!$C$2:$C$444,E457,merchant_workbook_pivot_table!$B$2:$B$444,J457)&gt;1000),"Mid-Value Merchant Day",""))</f>
        <v/>
      </c>
    </row>
    <row r="458">
      <c r="A458" s="3" t="s">
        <v>525</v>
      </c>
      <c r="B458" s="2">
        <v>173</v>
      </c>
      <c r="C458" s="2">
        <v>17</v>
      </c>
      <c r="D458" s="8" t="s">
        <v>1076</v>
      </c>
      <c r="E458" s="6" t="str">
        <f t="shared" si="14"/>
        <v>2026-01-18</v>
      </c>
      <c r="F458" s="2">
        <v>99</v>
      </c>
      <c r="G458" s="3" t="s">
        <v>69</v>
      </c>
      <c r="H458" s="3" t="s">
        <v>64</v>
      </c>
      <c r="I458" s="2">
        <v>97</v>
      </c>
      <c r="J458" s="6" t="str">
        <f>_xlfn.IFNA(VLOOKUP(C458,merchants!$A$1:$D$41,2,0),"Merchant not found")</f>
        <v>Merchant_017</v>
      </c>
      <c r="K458" s="6" t="str">
        <f>_xlfn.IFNA(VLOOKUP(C458,merchants!$A$1:$D$41,3,0),"Merchant not found")</f>
        <v>grocery</v>
      </c>
      <c r="L458" s="6" t="str">
        <f>_xlfn.IFNA(VLOOKUP(C458,merchants!$A$1:$D$41,4,0),"Merchant not found")</f>
        <v>North</v>
      </c>
      <c r="M458" s="9">
        <f t="shared" si="15"/>
        <v>0.98999999999999999</v>
      </c>
      <c r="N458" s="6" t="str">
        <f>IF(AND(L458&lt;&gt;"East",SUMIFS(merchant_workbook_pivot_table!$D$2:$D$444,merchant_workbook_pivot_table!$C$2:$C$444,E458,merchant_workbook_pivot_table!$B$2:$B$444,J458)&gt;5000),"High-Value Merchant Day",IF(AND(L458&lt;&gt;"East",SUMIFS(merchant_workbook_pivot_table!$D$2:$D$444,merchant_workbook_pivot_table!$C$2:$C$444,E458,merchant_workbook_pivot_table!$B$2:$B$444,J458)&gt;1000),"Mid-Value Merchant Day",""))</f>
        <v/>
      </c>
    </row>
    <row r="459">
      <c r="A459" s="3" t="s">
        <v>526</v>
      </c>
      <c r="B459" s="2">
        <v>329</v>
      </c>
      <c r="C459" s="2">
        <v>32</v>
      </c>
      <c r="D459" s="8" t="s">
        <v>1077</v>
      </c>
      <c r="E459" s="6" t="str">
        <f t="shared" si="14"/>
        <v>2026-01-27</v>
      </c>
      <c r="F459" s="2">
        <v>1499</v>
      </c>
      <c r="G459" s="3" t="s">
        <v>66</v>
      </c>
      <c r="H459" s="3" t="s">
        <v>64</v>
      </c>
      <c r="I459" s="2">
        <v>58</v>
      </c>
      <c r="J459" s="6" t="str">
        <f>_xlfn.IFNA(VLOOKUP(C459,merchants!$A$1:$D$41,2,0),"Merchant not found")</f>
        <v>Merchant_032</v>
      </c>
      <c r="K459" s="6" t="str">
        <f>_xlfn.IFNA(VLOOKUP(C459,merchants!$A$1:$D$41,3,0),"Merchant not found")</f>
        <v>food_delivery</v>
      </c>
      <c r="L459" s="6" t="str">
        <f>_xlfn.IFNA(VLOOKUP(C459,merchants!$A$1:$D$41,4,0),"Merchant not found")</f>
        <v>West</v>
      </c>
      <c r="M459" s="9">
        <f t="shared" si="15"/>
        <v>0</v>
      </c>
      <c r="N459" s="6" t="str">
        <f>IF(AND(L459&lt;&gt;"East",SUMIFS(merchant_workbook_pivot_table!$D$2:$D$444,merchant_workbook_pivot_table!$C$2:$C$444,E459,merchant_workbook_pivot_table!$B$2:$B$444,J459)&gt;5000),"High-Value Merchant Day",IF(AND(L459&lt;&gt;"East",SUMIFS(merchant_workbook_pivot_table!$D$2:$D$444,merchant_workbook_pivot_table!$C$2:$C$444,E459,merchant_workbook_pivot_table!$B$2:$B$444,J459)&gt;1000),"Mid-Value Merchant Day",""))</f>
        <v xml:space="preserve">Mid-Value Merchant Day</v>
      </c>
    </row>
    <row r="460">
      <c r="A460" s="3" t="s">
        <v>527</v>
      </c>
      <c r="B460" s="2">
        <v>181</v>
      </c>
      <c r="C460" s="2">
        <v>11</v>
      </c>
      <c r="D460" s="8" t="s">
        <v>1078</v>
      </c>
      <c r="E460" s="6" t="str">
        <f t="shared" si="14"/>
        <v>2026-01-06</v>
      </c>
      <c r="F460" s="2">
        <v>1499</v>
      </c>
      <c r="G460" s="3" t="s">
        <v>66</v>
      </c>
      <c r="H460" s="3" t="s">
        <v>64</v>
      </c>
      <c r="I460" s="2">
        <v>17</v>
      </c>
      <c r="J460" s="6" t="str">
        <f>_xlfn.IFNA(VLOOKUP(C460,merchants!$A$1:$D$41,2,0),"Merchant not found")</f>
        <v>Merchant_011</v>
      </c>
      <c r="K460" s="6" t="str">
        <f>_xlfn.IFNA(VLOOKUP(C460,merchants!$A$1:$D$41,3,0),"Merchant not found")</f>
        <v>ecommerce</v>
      </c>
      <c r="L460" s="6" t="str">
        <f>_xlfn.IFNA(VLOOKUP(C460,merchants!$A$1:$D$41,4,0),"Merchant not found")</f>
        <v>North</v>
      </c>
      <c r="M460" s="9">
        <f t="shared" si="15"/>
        <v>0</v>
      </c>
      <c r="N460" s="6" t="str">
        <f>IF(AND(L460&lt;&gt;"East",SUMIFS(merchant_workbook_pivot_table!$D$2:$D$444,merchant_workbook_pivot_table!$C$2:$C$444,E460,merchant_workbook_pivot_table!$B$2:$B$444,J460)&gt;5000),"High-Value Merchant Day",IF(AND(L460&lt;&gt;"East",SUMIFS(merchant_workbook_pivot_table!$D$2:$D$444,merchant_workbook_pivot_table!$C$2:$C$444,E460,merchant_workbook_pivot_table!$B$2:$B$444,J460)&gt;1000),"Mid-Value Merchant Day",""))</f>
        <v xml:space="preserve">Mid-Value Merchant Day</v>
      </c>
    </row>
    <row r="461">
      <c r="A461" s="3" t="s">
        <v>528</v>
      </c>
      <c r="B461" s="2">
        <v>95</v>
      </c>
      <c r="C461" s="2">
        <v>35</v>
      </c>
      <c r="D461" s="8" t="s">
        <v>1079</v>
      </c>
      <c r="E461" s="6" t="str">
        <f t="shared" si="14"/>
        <v>2026-01-24</v>
      </c>
      <c r="F461" s="2">
        <v>149</v>
      </c>
      <c r="G461" s="3" t="s">
        <v>63</v>
      </c>
      <c r="H461" s="3" t="s">
        <v>64</v>
      </c>
      <c r="I461" s="2">
        <v>82</v>
      </c>
      <c r="J461" s="6" t="str">
        <f>_xlfn.IFNA(VLOOKUP(C461,merchants!$A$1:$D$41,2,0),"Merchant not found")</f>
        <v>Merchant_035</v>
      </c>
      <c r="K461" s="6" t="str">
        <f>_xlfn.IFNA(VLOOKUP(C461,merchants!$A$1:$D$41,3,0),"Merchant not found")</f>
        <v>recharge</v>
      </c>
      <c r="L461" s="6" t="str">
        <f>_xlfn.IFNA(VLOOKUP(C461,merchants!$A$1:$D$41,4,0),"Merchant not found")</f>
        <v>East</v>
      </c>
      <c r="M461" s="9">
        <f t="shared" si="15"/>
        <v>2.2349999999999999</v>
      </c>
      <c r="N461" s="6" t="str">
        <f>IF(AND(L461&lt;&gt;"East",SUMIFS(merchant_workbook_pivot_table!$D$2:$D$444,merchant_workbook_pivot_table!$C$2:$C$444,E461,merchant_workbook_pivot_table!$B$2:$B$444,J461)&gt;5000),"High-Value Merchant Day",IF(AND(L461&lt;&gt;"East",SUMIFS(merchant_workbook_pivot_table!$D$2:$D$444,merchant_workbook_pivot_table!$C$2:$C$444,E461,merchant_workbook_pivot_table!$B$2:$B$444,J461)&gt;1000),"Mid-Value Merchant Day",""))</f>
        <v/>
      </c>
    </row>
    <row r="462">
      <c r="A462" s="3" t="s">
        <v>529</v>
      </c>
      <c r="B462" s="2">
        <v>39</v>
      </c>
      <c r="C462" s="2">
        <v>4</v>
      </c>
      <c r="D462" s="8" t="s">
        <v>1080</v>
      </c>
      <c r="E462" s="6" t="str">
        <f t="shared" si="14"/>
        <v>2026-01-02</v>
      </c>
      <c r="F462" s="2">
        <v>149</v>
      </c>
      <c r="G462" s="3" t="s">
        <v>69</v>
      </c>
      <c r="H462" s="3" t="s">
        <v>64</v>
      </c>
      <c r="I462" s="2">
        <v>97</v>
      </c>
      <c r="J462" s="6" t="str">
        <f>_xlfn.IFNA(VLOOKUP(C462,merchants!$A$1:$D$41,2,0),"Merchant not found")</f>
        <v>Merchant_004</v>
      </c>
      <c r="K462" s="6" t="str">
        <f>_xlfn.IFNA(VLOOKUP(C462,merchants!$A$1:$D$41,3,0),"Merchant not found")</f>
        <v>ecommerce</v>
      </c>
      <c r="L462" s="6" t="str">
        <f>_xlfn.IFNA(VLOOKUP(C462,merchants!$A$1:$D$41,4,0),"Merchant not found")</f>
        <v>East</v>
      </c>
      <c r="M462" s="9">
        <f t="shared" si="15"/>
        <v>1.49</v>
      </c>
      <c r="N462" s="6" t="str">
        <f>IF(AND(L462&lt;&gt;"East",SUMIFS(merchant_workbook_pivot_table!$D$2:$D$444,merchant_workbook_pivot_table!$C$2:$C$444,E462,merchant_workbook_pivot_table!$B$2:$B$444,J462)&gt;5000),"High-Value Merchant Day",IF(AND(L462&lt;&gt;"East",SUMIFS(merchant_workbook_pivot_table!$D$2:$D$444,merchant_workbook_pivot_table!$C$2:$C$444,E462,merchant_workbook_pivot_table!$B$2:$B$444,J462)&gt;1000),"Mid-Value Merchant Day",""))</f>
        <v/>
      </c>
    </row>
    <row r="463">
      <c r="A463" s="3" t="s">
        <v>530</v>
      </c>
      <c r="B463" s="2">
        <v>323</v>
      </c>
      <c r="C463" s="2">
        <v>15</v>
      </c>
      <c r="D463" s="8" t="s">
        <v>1081</v>
      </c>
      <c r="E463" s="6" t="str">
        <f t="shared" si="14"/>
        <v>2026-01-01</v>
      </c>
      <c r="F463" s="2">
        <v>499</v>
      </c>
      <c r="G463" s="3" t="s">
        <v>66</v>
      </c>
      <c r="H463" s="3" t="s">
        <v>64</v>
      </c>
      <c r="I463" s="2">
        <v>8</v>
      </c>
      <c r="J463" s="6" t="str">
        <f>_xlfn.IFNA(VLOOKUP(C463,merchants!$A$1:$D$41,2,0),"Merchant not found")</f>
        <v>Merchant_015</v>
      </c>
      <c r="K463" s="6" t="str">
        <f>_xlfn.IFNA(VLOOKUP(C463,merchants!$A$1:$D$41,3,0),"Merchant not found")</f>
        <v>travel</v>
      </c>
      <c r="L463" s="6" t="str">
        <f>_xlfn.IFNA(VLOOKUP(C463,merchants!$A$1:$D$41,4,0),"Merchant not found")</f>
        <v>North</v>
      </c>
      <c r="M463" s="9">
        <f t="shared" si="15"/>
        <v>0</v>
      </c>
      <c r="N463" s="6" t="str">
        <f>IF(AND(L463&lt;&gt;"East",SUMIFS(merchant_workbook_pivot_table!$D$2:$D$444,merchant_workbook_pivot_table!$C$2:$C$444,E463,merchant_workbook_pivot_table!$B$2:$B$444,J463)&gt;5000),"High-Value Merchant Day",IF(AND(L463&lt;&gt;"East",SUMIFS(merchant_workbook_pivot_table!$D$2:$D$444,merchant_workbook_pivot_table!$C$2:$C$444,E463,merchant_workbook_pivot_table!$B$2:$B$444,J463)&gt;1000),"Mid-Value Merchant Day",""))</f>
        <v/>
      </c>
    </row>
    <row r="464">
      <c r="A464" s="3" t="s">
        <v>531</v>
      </c>
      <c r="B464" s="2">
        <v>112</v>
      </c>
      <c r="C464" s="2">
        <v>33</v>
      </c>
      <c r="D464" s="8" t="s">
        <v>1082</v>
      </c>
      <c r="E464" s="6" t="str">
        <f t="shared" si="14"/>
        <v>2026-01-23</v>
      </c>
      <c r="F464" s="2">
        <v>49</v>
      </c>
      <c r="G464" s="3" t="s">
        <v>69</v>
      </c>
      <c r="H464" s="3" t="s">
        <v>64</v>
      </c>
      <c r="I464" s="2">
        <v>58</v>
      </c>
      <c r="J464" s="6" t="str">
        <f>_xlfn.IFNA(VLOOKUP(C464,merchants!$A$1:$D$41,2,0),"Merchant not found")</f>
        <v>Merchant_033</v>
      </c>
      <c r="K464" s="6" t="str">
        <f>_xlfn.IFNA(VLOOKUP(C464,merchants!$A$1:$D$41,3,0),"Merchant not found")</f>
        <v>bill_payment</v>
      </c>
      <c r="L464" s="6" t="str">
        <f>_xlfn.IFNA(VLOOKUP(C464,merchants!$A$1:$D$41,4,0),"Merchant not found")</f>
        <v>East</v>
      </c>
      <c r="M464" s="9">
        <f t="shared" si="15"/>
        <v>0.48999999999999999</v>
      </c>
      <c r="N464" s="6" t="str">
        <f>IF(AND(L464&lt;&gt;"East",SUMIFS(merchant_workbook_pivot_table!$D$2:$D$444,merchant_workbook_pivot_table!$C$2:$C$444,E464,merchant_workbook_pivot_table!$B$2:$B$444,J464)&gt;5000),"High-Value Merchant Day",IF(AND(L464&lt;&gt;"East",SUMIFS(merchant_workbook_pivot_table!$D$2:$D$444,merchant_workbook_pivot_table!$C$2:$C$444,E464,merchant_workbook_pivot_table!$B$2:$B$444,J464)&gt;1000),"Mid-Value Merchant Day",""))</f>
        <v/>
      </c>
    </row>
    <row r="465">
      <c r="A465" s="3" t="s">
        <v>532</v>
      </c>
      <c r="B465" s="2">
        <v>327</v>
      </c>
      <c r="C465" s="2">
        <v>40</v>
      </c>
      <c r="D465" s="8" t="s">
        <v>1083</v>
      </c>
      <c r="E465" s="6" t="str">
        <f t="shared" si="14"/>
        <v>2026-01-12</v>
      </c>
      <c r="F465" s="2">
        <v>99</v>
      </c>
      <c r="G465" s="3" t="s">
        <v>66</v>
      </c>
      <c r="H465" s="3" t="s">
        <v>64</v>
      </c>
      <c r="I465" s="2">
        <v>61</v>
      </c>
      <c r="J465" s="6" t="str">
        <f>_xlfn.IFNA(VLOOKUP(C465,merchants!$A$1:$D$41,2,0),"Merchant not found")</f>
        <v>Merchant_040</v>
      </c>
      <c r="K465" s="6" t="str">
        <f>_xlfn.IFNA(VLOOKUP(C465,merchants!$A$1:$D$41,3,0),"Merchant not found")</f>
        <v>entertainment</v>
      </c>
      <c r="L465" s="6" t="str">
        <f>_xlfn.IFNA(VLOOKUP(C465,merchants!$A$1:$D$41,4,0),"Merchant not found")</f>
        <v>South</v>
      </c>
      <c r="M465" s="9">
        <f t="shared" si="15"/>
        <v>0</v>
      </c>
      <c r="N465" s="6" t="str">
        <f>IF(AND(L465&lt;&gt;"East",SUMIFS(merchant_workbook_pivot_table!$D$2:$D$444,merchant_workbook_pivot_table!$C$2:$C$444,E465,merchant_workbook_pivot_table!$B$2:$B$444,J465)&gt;5000),"High-Value Merchant Day",IF(AND(L465&lt;&gt;"East",SUMIFS(merchant_workbook_pivot_table!$D$2:$D$444,merchant_workbook_pivot_table!$C$2:$C$444,E465,merchant_workbook_pivot_table!$B$2:$B$444,J465)&gt;1000),"Mid-Value Merchant Day",""))</f>
        <v/>
      </c>
    </row>
    <row r="466">
      <c r="A466" s="3" t="s">
        <v>533</v>
      </c>
      <c r="B466" s="2">
        <v>4</v>
      </c>
      <c r="C466" s="2">
        <v>35</v>
      </c>
      <c r="D466" s="8" t="s">
        <v>1084</v>
      </c>
      <c r="E466" s="6" t="str">
        <f t="shared" si="14"/>
        <v>2026-01-22</v>
      </c>
      <c r="F466" s="2">
        <v>299</v>
      </c>
      <c r="G466" s="3" t="s">
        <v>66</v>
      </c>
      <c r="H466" s="3" t="s">
        <v>64</v>
      </c>
      <c r="I466" s="2">
        <v>70</v>
      </c>
      <c r="J466" s="6" t="str">
        <f>_xlfn.IFNA(VLOOKUP(C466,merchants!$A$1:$D$41,2,0),"Merchant not found")</f>
        <v>Merchant_035</v>
      </c>
      <c r="K466" s="6" t="str">
        <f>_xlfn.IFNA(VLOOKUP(C466,merchants!$A$1:$D$41,3,0),"Merchant not found")</f>
        <v>recharge</v>
      </c>
      <c r="L466" s="6" t="str">
        <f>_xlfn.IFNA(VLOOKUP(C466,merchants!$A$1:$D$41,4,0),"Merchant not found")</f>
        <v>East</v>
      </c>
      <c r="M466" s="9">
        <f t="shared" si="15"/>
        <v>0</v>
      </c>
      <c r="N466" s="6" t="str">
        <f>IF(AND(L466&lt;&gt;"East",SUMIFS(merchant_workbook_pivot_table!$D$2:$D$444,merchant_workbook_pivot_table!$C$2:$C$444,E466,merchant_workbook_pivot_table!$B$2:$B$444,J466)&gt;5000),"High-Value Merchant Day",IF(AND(L466&lt;&gt;"East",SUMIFS(merchant_workbook_pivot_table!$D$2:$D$444,merchant_workbook_pivot_table!$C$2:$C$444,E466,merchant_workbook_pivot_table!$B$2:$B$444,J466)&gt;1000),"Mid-Value Merchant Day",""))</f>
        <v/>
      </c>
    </row>
    <row r="467">
      <c r="A467" s="3" t="s">
        <v>534</v>
      </c>
      <c r="B467" s="2">
        <v>272</v>
      </c>
      <c r="C467" s="2">
        <v>18</v>
      </c>
      <c r="D467" s="8" t="s">
        <v>1085</v>
      </c>
      <c r="E467" s="6" t="str">
        <f t="shared" si="14"/>
        <v>2026-01-14</v>
      </c>
      <c r="F467" s="2">
        <v>149</v>
      </c>
      <c r="G467" s="3" t="s">
        <v>66</v>
      </c>
      <c r="H467" s="3" t="s">
        <v>64</v>
      </c>
      <c r="I467" s="2">
        <v>68</v>
      </c>
      <c r="J467" s="6" t="str">
        <f>_xlfn.IFNA(VLOOKUP(C467,merchants!$A$1:$D$41,2,0),"Merchant not found")</f>
        <v>Merchant_018</v>
      </c>
      <c r="K467" s="6" t="str">
        <f>_xlfn.IFNA(VLOOKUP(C467,merchants!$A$1:$D$41,3,0),"Merchant not found")</f>
        <v>grocery</v>
      </c>
      <c r="L467" s="6" t="str">
        <f>_xlfn.IFNA(VLOOKUP(C467,merchants!$A$1:$D$41,4,0),"Merchant not found")</f>
        <v>West</v>
      </c>
      <c r="M467" s="9">
        <f t="shared" si="15"/>
        <v>0</v>
      </c>
      <c r="N467" s="6" t="str">
        <f>IF(AND(L467&lt;&gt;"East",SUMIFS(merchant_workbook_pivot_table!$D$2:$D$444,merchant_workbook_pivot_table!$C$2:$C$444,E467,merchant_workbook_pivot_table!$B$2:$B$444,J467)&gt;5000),"High-Value Merchant Day",IF(AND(L467&lt;&gt;"East",SUMIFS(merchant_workbook_pivot_table!$D$2:$D$444,merchant_workbook_pivot_table!$C$2:$C$444,E467,merchant_workbook_pivot_table!$B$2:$B$444,J467)&gt;1000),"Mid-Value Merchant Day",""))</f>
        <v/>
      </c>
    </row>
    <row r="468">
      <c r="A468" s="3" t="s">
        <v>535</v>
      </c>
      <c r="B468" s="2">
        <v>346</v>
      </c>
      <c r="C468" s="2">
        <v>28</v>
      </c>
      <c r="D468" s="8" t="s">
        <v>1086</v>
      </c>
      <c r="E468" s="6" t="str">
        <f t="shared" si="14"/>
        <v>2026-01-10</v>
      </c>
      <c r="F468" s="2">
        <v>499</v>
      </c>
      <c r="G468" s="3" t="s">
        <v>66</v>
      </c>
      <c r="H468" s="3" t="s">
        <v>64</v>
      </c>
      <c r="I468" s="2">
        <v>22</v>
      </c>
      <c r="J468" s="6" t="str">
        <f>_xlfn.IFNA(VLOOKUP(C468,merchants!$A$1:$D$41,2,0),"Merchant not found")</f>
        <v>Merchant_028</v>
      </c>
      <c r="K468" s="6" t="str">
        <f>_xlfn.IFNA(VLOOKUP(C468,merchants!$A$1:$D$41,3,0),"Merchant not found")</f>
        <v>ecommerce</v>
      </c>
      <c r="L468" s="6" t="str">
        <f>_xlfn.IFNA(VLOOKUP(C468,merchants!$A$1:$D$41,4,0),"Merchant not found")</f>
        <v>South</v>
      </c>
      <c r="M468" s="9">
        <f t="shared" si="15"/>
        <v>0</v>
      </c>
      <c r="N468" s="6" t="str">
        <f>IF(AND(L468&lt;&gt;"East",SUMIFS(merchant_workbook_pivot_table!$D$2:$D$444,merchant_workbook_pivot_table!$C$2:$C$444,E468,merchant_workbook_pivot_table!$B$2:$B$444,J468)&gt;5000),"High-Value Merchant Day",IF(AND(L468&lt;&gt;"East",SUMIFS(merchant_workbook_pivot_table!$D$2:$D$444,merchant_workbook_pivot_table!$C$2:$C$444,E468,merchant_workbook_pivot_table!$B$2:$B$444,J468)&gt;1000),"Mid-Value Merchant Day",""))</f>
        <v/>
      </c>
    </row>
    <row r="469">
      <c r="A469" s="3" t="s">
        <v>536</v>
      </c>
      <c r="B469" s="2">
        <v>77</v>
      </c>
      <c r="C469" s="2">
        <v>16</v>
      </c>
      <c r="D469" s="8" t="s">
        <v>1087</v>
      </c>
      <c r="E469" s="6" t="str">
        <f t="shared" si="14"/>
        <v>2026-01-04</v>
      </c>
      <c r="F469" s="2">
        <v>49</v>
      </c>
      <c r="G469" s="3" t="s">
        <v>63</v>
      </c>
      <c r="H469" s="3" t="s">
        <v>64</v>
      </c>
      <c r="I469" s="2">
        <v>24</v>
      </c>
      <c r="J469" s="6" t="str">
        <f>_xlfn.IFNA(VLOOKUP(C469,merchants!$A$1:$D$41,2,0),"Merchant not found")</f>
        <v>Merchant_016</v>
      </c>
      <c r="K469" s="6" t="str">
        <f>_xlfn.IFNA(VLOOKUP(C469,merchants!$A$1:$D$41,3,0),"Merchant not found")</f>
        <v>bill_payment</v>
      </c>
      <c r="L469" s="6" t="str">
        <f>_xlfn.IFNA(VLOOKUP(C469,merchants!$A$1:$D$41,4,0),"Merchant not found")</f>
        <v>West</v>
      </c>
      <c r="M469" s="9">
        <f t="shared" si="15"/>
        <v>0.73499999999999999</v>
      </c>
      <c r="N469" s="6" t="str">
        <f>IF(AND(L469&lt;&gt;"East",SUMIFS(merchant_workbook_pivot_table!$D$2:$D$444,merchant_workbook_pivot_table!$C$2:$C$444,E469,merchant_workbook_pivot_table!$B$2:$B$444,J469)&gt;5000),"High-Value Merchant Day",IF(AND(L469&lt;&gt;"East",SUMIFS(merchant_workbook_pivot_table!$D$2:$D$444,merchant_workbook_pivot_table!$C$2:$C$444,E469,merchant_workbook_pivot_table!$B$2:$B$444,J469)&gt;1000),"Mid-Value Merchant Day",""))</f>
        <v/>
      </c>
    </row>
    <row r="470">
      <c r="A470" s="3" t="s">
        <v>537</v>
      </c>
      <c r="B470" s="2">
        <v>182</v>
      </c>
      <c r="C470" s="2">
        <v>18</v>
      </c>
      <c r="D470" s="8" t="s">
        <v>1088</v>
      </c>
      <c r="E470" s="6" t="str">
        <f t="shared" si="14"/>
        <v>2026-01-20</v>
      </c>
      <c r="F470" s="2">
        <v>149</v>
      </c>
      <c r="G470" s="3" t="s">
        <v>78</v>
      </c>
      <c r="H470" s="3" t="s">
        <v>64</v>
      </c>
      <c r="I470" s="2">
        <v>50</v>
      </c>
      <c r="J470" s="6" t="str">
        <f>_xlfn.IFNA(VLOOKUP(C470,merchants!$A$1:$D$41,2,0),"Merchant not found")</f>
        <v>Merchant_018</v>
      </c>
      <c r="K470" s="6" t="str">
        <f>_xlfn.IFNA(VLOOKUP(C470,merchants!$A$1:$D$41,3,0),"Merchant not found")</f>
        <v>grocery</v>
      </c>
      <c r="L470" s="6" t="str">
        <f>_xlfn.IFNA(VLOOKUP(C470,merchants!$A$1:$D$41,4,0),"Merchant not found")</f>
        <v>West</v>
      </c>
      <c r="M470" s="9">
        <f t="shared" si="15"/>
        <v>2.98</v>
      </c>
      <c r="N470" s="6" t="str">
        <f>IF(AND(L470&lt;&gt;"East",SUMIFS(merchant_workbook_pivot_table!$D$2:$D$444,merchant_workbook_pivot_table!$C$2:$C$444,E470,merchant_workbook_pivot_table!$B$2:$B$444,J470)&gt;5000),"High-Value Merchant Day",IF(AND(L470&lt;&gt;"East",SUMIFS(merchant_workbook_pivot_table!$D$2:$D$444,merchant_workbook_pivot_table!$C$2:$C$444,E470,merchant_workbook_pivot_table!$B$2:$B$444,J470)&gt;1000),"Mid-Value Merchant Day",""))</f>
        <v/>
      </c>
    </row>
    <row r="471">
      <c r="A471" s="3" t="s">
        <v>538</v>
      </c>
      <c r="B471" s="2">
        <v>236</v>
      </c>
      <c r="C471" s="2">
        <v>37</v>
      </c>
      <c r="D471" s="8" t="s">
        <v>1089</v>
      </c>
      <c r="E471" s="6" t="str">
        <f t="shared" si="14"/>
        <v>2026-01-03</v>
      </c>
      <c r="F471" s="2">
        <v>299</v>
      </c>
      <c r="G471" s="3" t="s">
        <v>78</v>
      </c>
      <c r="H471" s="3" t="s">
        <v>64</v>
      </c>
      <c r="I471" s="2">
        <v>31</v>
      </c>
      <c r="J471" s="6" t="str">
        <f>_xlfn.IFNA(VLOOKUP(C471,merchants!$A$1:$D$41,2,0),"Merchant not found")</f>
        <v>Merchant_037</v>
      </c>
      <c r="K471" s="6" t="str">
        <f>_xlfn.IFNA(VLOOKUP(C471,merchants!$A$1:$D$41,3,0),"Merchant not found")</f>
        <v>entertainment</v>
      </c>
      <c r="L471" s="6" t="str">
        <f>_xlfn.IFNA(VLOOKUP(C471,merchants!$A$1:$D$41,4,0),"Merchant not found")</f>
        <v>South</v>
      </c>
      <c r="M471" s="9">
        <f t="shared" si="15"/>
        <v>5.9800000000000004</v>
      </c>
      <c r="N471" s="6" t="str">
        <f>IF(AND(L471&lt;&gt;"East",SUMIFS(merchant_workbook_pivot_table!$D$2:$D$444,merchant_workbook_pivot_table!$C$2:$C$444,E471,merchant_workbook_pivot_table!$B$2:$B$444,J471)&gt;5000),"High-Value Merchant Day",IF(AND(L471&lt;&gt;"East",SUMIFS(merchant_workbook_pivot_table!$D$2:$D$444,merchant_workbook_pivot_table!$C$2:$C$444,E471,merchant_workbook_pivot_table!$B$2:$B$444,J471)&gt;1000),"Mid-Value Merchant Day",""))</f>
        <v/>
      </c>
    </row>
    <row r="472">
      <c r="A472" s="3" t="s">
        <v>539</v>
      </c>
      <c r="B472" s="2">
        <v>42</v>
      </c>
      <c r="C472" s="2">
        <v>3</v>
      </c>
      <c r="D472" s="8" t="s">
        <v>700</v>
      </c>
      <c r="E472" s="6" t="str">
        <f t="shared" si="14"/>
        <v>2026-01-23</v>
      </c>
      <c r="F472" s="2">
        <v>49</v>
      </c>
      <c r="G472" s="3" t="s">
        <v>66</v>
      </c>
      <c r="H472" s="3" t="s">
        <v>64</v>
      </c>
      <c r="I472" s="2">
        <v>11</v>
      </c>
      <c r="J472" s="6" t="str">
        <f>_xlfn.IFNA(VLOOKUP(C472,merchants!$A$1:$D$41,2,0),"Merchant not found")</f>
        <v>Merchant_003</v>
      </c>
      <c r="K472" s="6" t="str">
        <f>_xlfn.IFNA(VLOOKUP(C472,merchants!$A$1:$D$41,3,0),"Merchant not found")</f>
        <v>grocery</v>
      </c>
      <c r="L472" s="6" t="str">
        <f>_xlfn.IFNA(VLOOKUP(C472,merchants!$A$1:$D$41,4,0),"Merchant not found")</f>
        <v>East</v>
      </c>
      <c r="M472" s="9">
        <f t="shared" si="15"/>
        <v>0</v>
      </c>
      <c r="N472" s="6" t="str">
        <f>IF(AND(L472&lt;&gt;"East",SUMIFS(merchant_workbook_pivot_table!$D$2:$D$444,merchant_workbook_pivot_table!$C$2:$C$444,E472,merchant_workbook_pivot_table!$B$2:$B$444,J472)&gt;5000),"High-Value Merchant Day",IF(AND(L472&lt;&gt;"East",SUMIFS(merchant_workbook_pivot_table!$D$2:$D$444,merchant_workbook_pivot_table!$C$2:$C$444,E472,merchant_workbook_pivot_table!$B$2:$B$444,J472)&gt;1000),"Mid-Value Merchant Day",""))</f>
        <v/>
      </c>
    </row>
    <row r="473">
      <c r="A473" s="3" t="s">
        <v>540</v>
      </c>
      <c r="B473" s="2">
        <v>283</v>
      </c>
      <c r="C473" s="2">
        <v>31</v>
      </c>
      <c r="D473" s="8" t="s">
        <v>1090</v>
      </c>
      <c r="E473" s="6" t="str">
        <f t="shared" si="14"/>
        <v>2026-01-13</v>
      </c>
      <c r="F473" s="2">
        <v>299</v>
      </c>
      <c r="G473" s="3" t="s">
        <v>69</v>
      </c>
      <c r="H473" s="3" t="s">
        <v>64</v>
      </c>
      <c r="I473" s="2">
        <v>7</v>
      </c>
      <c r="J473" s="6" t="str">
        <f>_xlfn.IFNA(VLOOKUP(C473,merchants!$A$1:$D$41,2,0),"Merchant not found")</f>
        <v>Merchant_031</v>
      </c>
      <c r="K473" s="6" t="str">
        <f>_xlfn.IFNA(VLOOKUP(C473,merchants!$A$1:$D$41,3,0),"Merchant not found")</f>
        <v>bill_payment</v>
      </c>
      <c r="L473" s="6" t="str">
        <f>_xlfn.IFNA(VLOOKUP(C473,merchants!$A$1:$D$41,4,0),"Merchant not found")</f>
        <v>East</v>
      </c>
      <c r="M473" s="9">
        <f t="shared" si="15"/>
        <v>2.9900000000000002</v>
      </c>
      <c r="N473" s="6" t="str">
        <f>IF(AND(L473&lt;&gt;"East",SUMIFS(merchant_workbook_pivot_table!$D$2:$D$444,merchant_workbook_pivot_table!$C$2:$C$444,E473,merchant_workbook_pivot_table!$B$2:$B$444,J473)&gt;5000),"High-Value Merchant Day",IF(AND(L473&lt;&gt;"East",SUMIFS(merchant_workbook_pivot_table!$D$2:$D$444,merchant_workbook_pivot_table!$C$2:$C$444,E473,merchant_workbook_pivot_table!$B$2:$B$444,J473)&gt;1000),"Mid-Value Merchant Day",""))</f>
        <v/>
      </c>
    </row>
    <row r="474">
      <c r="A474" s="3" t="s">
        <v>541</v>
      </c>
      <c r="B474" s="2">
        <v>88</v>
      </c>
      <c r="C474" s="2">
        <v>6</v>
      </c>
      <c r="D474" s="8" t="s">
        <v>1091</v>
      </c>
      <c r="E474" s="6" t="str">
        <f t="shared" si="14"/>
        <v>2026-01-21</v>
      </c>
      <c r="F474" s="2">
        <v>49</v>
      </c>
      <c r="G474" s="3" t="s">
        <v>66</v>
      </c>
      <c r="H474" s="3" t="s">
        <v>64</v>
      </c>
      <c r="I474" s="2">
        <v>63</v>
      </c>
      <c r="J474" s="6" t="str">
        <f>_xlfn.IFNA(VLOOKUP(C474,merchants!$A$1:$D$41,2,0),"Merchant not found")</f>
        <v>Merchant_006</v>
      </c>
      <c r="K474" s="6" t="str">
        <f>_xlfn.IFNA(VLOOKUP(C474,merchants!$A$1:$D$41,3,0),"Merchant not found")</f>
        <v>food_delivery</v>
      </c>
      <c r="L474" s="6" t="str">
        <f>_xlfn.IFNA(VLOOKUP(C474,merchants!$A$1:$D$41,4,0),"Merchant not found")</f>
        <v>South</v>
      </c>
      <c r="M474" s="9">
        <f t="shared" si="15"/>
        <v>0</v>
      </c>
      <c r="N474" s="6" t="str">
        <f>IF(AND(L474&lt;&gt;"East",SUMIFS(merchant_workbook_pivot_table!$D$2:$D$444,merchant_workbook_pivot_table!$C$2:$C$444,E474,merchant_workbook_pivot_table!$B$2:$B$444,J474)&gt;5000),"High-Value Merchant Day",IF(AND(L474&lt;&gt;"East",SUMIFS(merchant_workbook_pivot_table!$D$2:$D$444,merchant_workbook_pivot_table!$C$2:$C$444,E474,merchant_workbook_pivot_table!$B$2:$B$444,J474)&gt;1000),"Mid-Value Merchant Day",""))</f>
        <v/>
      </c>
    </row>
    <row r="475">
      <c r="A475" s="3" t="s">
        <v>542</v>
      </c>
      <c r="B475" s="2">
        <v>170</v>
      </c>
      <c r="C475" s="2">
        <v>37</v>
      </c>
      <c r="D475" s="8" t="s">
        <v>1092</v>
      </c>
      <c r="E475" s="6" t="str">
        <f t="shared" si="14"/>
        <v>2026-01-28</v>
      </c>
      <c r="F475" s="2">
        <v>99</v>
      </c>
      <c r="G475" s="3" t="s">
        <v>66</v>
      </c>
      <c r="H475" s="3" t="s">
        <v>79</v>
      </c>
      <c r="I475" s="2">
        <v>12</v>
      </c>
      <c r="J475" s="6" t="str">
        <f>_xlfn.IFNA(VLOOKUP(C475,merchants!$A$1:$D$41,2,0),"Merchant not found")</f>
        <v>Merchant_037</v>
      </c>
      <c r="K475" s="6" t="str">
        <f>_xlfn.IFNA(VLOOKUP(C475,merchants!$A$1:$D$41,3,0),"Merchant not found")</f>
        <v>entertainment</v>
      </c>
      <c r="L475" s="6" t="str">
        <f>_xlfn.IFNA(VLOOKUP(C475,merchants!$A$1:$D$41,4,0),"Merchant not found")</f>
        <v>South</v>
      </c>
      <c r="M475" s="9">
        <f t="shared" si="15"/>
        <v>0</v>
      </c>
      <c r="N475" s="6" t="str">
        <f>IF(AND(L475&lt;&gt;"East",SUMIFS(merchant_workbook_pivot_table!$D$2:$D$444,merchant_workbook_pivot_table!$C$2:$C$444,E475,merchant_workbook_pivot_table!$B$2:$B$444,J475)&gt;5000),"High-Value Merchant Day",IF(AND(L475&lt;&gt;"East",SUMIFS(merchant_workbook_pivot_table!$D$2:$D$444,merchant_workbook_pivot_table!$C$2:$C$444,E475,merchant_workbook_pivot_table!$B$2:$B$444,J475)&gt;1000),"Mid-Value Merchant Day",""))</f>
        <v/>
      </c>
    </row>
    <row r="476">
      <c r="A476" s="3" t="s">
        <v>543</v>
      </c>
      <c r="B476" s="2">
        <v>22</v>
      </c>
      <c r="C476" s="2">
        <v>15</v>
      </c>
      <c r="D476" s="8" t="s">
        <v>1093</v>
      </c>
      <c r="E476" s="6" t="str">
        <f t="shared" si="14"/>
        <v>2026-01-29</v>
      </c>
      <c r="F476" s="2">
        <v>49</v>
      </c>
      <c r="G476" s="3" t="s">
        <v>69</v>
      </c>
      <c r="H476" s="3" t="s">
        <v>64</v>
      </c>
      <c r="I476" s="2">
        <v>27</v>
      </c>
      <c r="J476" s="6" t="str">
        <f>_xlfn.IFNA(VLOOKUP(C476,merchants!$A$1:$D$41,2,0),"Merchant not found")</f>
        <v>Merchant_015</v>
      </c>
      <c r="K476" s="6" t="str">
        <f>_xlfn.IFNA(VLOOKUP(C476,merchants!$A$1:$D$41,3,0),"Merchant not found")</f>
        <v>travel</v>
      </c>
      <c r="L476" s="6" t="str">
        <f>_xlfn.IFNA(VLOOKUP(C476,merchants!$A$1:$D$41,4,0),"Merchant not found")</f>
        <v>North</v>
      </c>
      <c r="M476" s="9">
        <f t="shared" si="15"/>
        <v>0.48999999999999999</v>
      </c>
      <c r="N476" s="6" t="str">
        <f>IF(AND(L476&lt;&gt;"East",SUMIFS(merchant_workbook_pivot_table!$D$2:$D$444,merchant_workbook_pivot_table!$C$2:$C$444,E476,merchant_workbook_pivot_table!$B$2:$B$444,J476)&gt;5000),"High-Value Merchant Day",IF(AND(L476&lt;&gt;"East",SUMIFS(merchant_workbook_pivot_table!$D$2:$D$444,merchant_workbook_pivot_table!$C$2:$C$444,E476,merchant_workbook_pivot_table!$B$2:$B$444,J476)&gt;1000),"Mid-Value Merchant Day",""))</f>
        <v/>
      </c>
    </row>
    <row r="477">
      <c r="A477" s="3" t="s">
        <v>544</v>
      </c>
      <c r="B477" s="2">
        <v>291</v>
      </c>
      <c r="C477" s="2">
        <v>31</v>
      </c>
      <c r="D477" s="8" t="s">
        <v>1094</v>
      </c>
      <c r="E477" s="6" t="str">
        <f t="shared" si="14"/>
        <v>2026-01-29</v>
      </c>
      <c r="F477" s="2">
        <v>49</v>
      </c>
      <c r="G477" s="3" t="s">
        <v>69</v>
      </c>
      <c r="H477" s="3" t="s">
        <v>79</v>
      </c>
      <c r="I477" s="2">
        <v>34</v>
      </c>
      <c r="J477" s="6" t="str">
        <f>_xlfn.IFNA(VLOOKUP(C477,merchants!$A$1:$D$41,2,0),"Merchant not found")</f>
        <v>Merchant_031</v>
      </c>
      <c r="K477" s="6" t="str">
        <f>_xlfn.IFNA(VLOOKUP(C477,merchants!$A$1:$D$41,3,0),"Merchant not found")</f>
        <v>bill_payment</v>
      </c>
      <c r="L477" s="6" t="str">
        <f>_xlfn.IFNA(VLOOKUP(C477,merchants!$A$1:$D$41,4,0),"Merchant not found")</f>
        <v>East</v>
      </c>
      <c r="M477" s="9">
        <f t="shared" si="15"/>
        <v>0.48999999999999999</v>
      </c>
      <c r="N477" s="6" t="str">
        <f>IF(AND(L477&lt;&gt;"East",SUMIFS(merchant_workbook_pivot_table!$D$2:$D$444,merchant_workbook_pivot_table!$C$2:$C$444,E477,merchant_workbook_pivot_table!$B$2:$B$444,J477)&gt;5000),"High-Value Merchant Day",IF(AND(L477&lt;&gt;"East",SUMIFS(merchant_workbook_pivot_table!$D$2:$D$444,merchant_workbook_pivot_table!$C$2:$C$444,E477,merchant_workbook_pivot_table!$B$2:$B$444,J477)&gt;1000),"Mid-Value Merchant Day",""))</f>
        <v/>
      </c>
    </row>
    <row r="478">
      <c r="A478" s="3" t="s">
        <v>545</v>
      </c>
      <c r="B478" s="2">
        <v>144</v>
      </c>
      <c r="C478" s="2">
        <v>35</v>
      </c>
      <c r="D478" s="8" t="s">
        <v>1095</v>
      </c>
      <c r="E478" s="6" t="str">
        <f t="shared" si="14"/>
        <v>2026-01-02</v>
      </c>
      <c r="F478" s="2">
        <v>1499</v>
      </c>
      <c r="G478" s="3" t="s">
        <v>66</v>
      </c>
      <c r="H478" s="3" t="s">
        <v>64</v>
      </c>
      <c r="I478" s="2">
        <v>72</v>
      </c>
      <c r="J478" s="6" t="str">
        <f>_xlfn.IFNA(VLOOKUP(C478,merchants!$A$1:$D$41,2,0),"Merchant not found")</f>
        <v>Merchant_035</v>
      </c>
      <c r="K478" s="6" t="str">
        <f>_xlfn.IFNA(VLOOKUP(C478,merchants!$A$1:$D$41,3,0),"Merchant not found")</f>
        <v>recharge</v>
      </c>
      <c r="L478" s="6" t="str">
        <f>_xlfn.IFNA(VLOOKUP(C478,merchants!$A$1:$D$41,4,0),"Merchant not found")</f>
        <v>East</v>
      </c>
      <c r="M478" s="9">
        <f t="shared" si="15"/>
        <v>0</v>
      </c>
      <c r="N478" s="6" t="str">
        <f>IF(AND(L478&lt;&gt;"East",SUMIFS(merchant_workbook_pivot_table!$D$2:$D$444,merchant_workbook_pivot_table!$C$2:$C$444,E478,merchant_workbook_pivot_table!$B$2:$B$444,J478)&gt;5000),"High-Value Merchant Day",IF(AND(L478&lt;&gt;"East",SUMIFS(merchant_workbook_pivot_table!$D$2:$D$444,merchant_workbook_pivot_table!$C$2:$C$444,E478,merchant_workbook_pivot_table!$B$2:$B$444,J478)&gt;1000),"Mid-Value Merchant Day",""))</f>
        <v/>
      </c>
    </row>
    <row r="479">
      <c r="A479" s="3" t="s">
        <v>546</v>
      </c>
      <c r="B479" s="2">
        <v>162</v>
      </c>
      <c r="C479" s="2">
        <v>2</v>
      </c>
      <c r="D479" s="8" t="s">
        <v>1096</v>
      </c>
      <c r="E479" s="6" t="str">
        <f t="shared" si="14"/>
        <v>2026-01-22</v>
      </c>
      <c r="F479" s="2">
        <v>299</v>
      </c>
      <c r="G479" s="3" t="s">
        <v>63</v>
      </c>
      <c r="H479" s="3" t="s">
        <v>64</v>
      </c>
      <c r="I479" s="2">
        <v>26</v>
      </c>
      <c r="J479" s="6" t="str">
        <f>_xlfn.IFNA(VLOOKUP(C479,merchants!$A$1:$D$41,2,0),"Merchant not found")</f>
        <v>Merchant_002</v>
      </c>
      <c r="K479" s="6" t="str">
        <f>_xlfn.IFNA(VLOOKUP(C479,merchants!$A$1:$D$41,3,0),"Merchant not found")</f>
        <v>grocery</v>
      </c>
      <c r="L479" s="6" t="str">
        <f>_xlfn.IFNA(VLOOKUP(C479,merchants!$A$1:$D$41,4,0),"Merchant not found")</f>
        <v>West</v>
      </c>
      <c r="M479" s="9">
        <f t="shared" si="15"/>
        <v>4.4849999999999994</v>
      </c>
      <c r="N479" s="6" t="str">
        <f>IF(AND(L479&lt;&gt;"East",SUMIFS(merchant_workbook_pivot_table!$D$2:$D$444,merchant_workbook_pivot_table!$C$2:$C$444,E479,merchant_workbook_pivot_table!$B$2:$B$444,J479)&gt;5000),"High-Value Merchant Day",IF(AND(L479&lt;&gt;"East",SUMIFS(merchant_workbook_pivot_table!$D$2:$D$444,merchant_workbook_pivot_table!$C$2:$C$444,E479,merchant_workbook_pivot_table!$B$2:$B$444,J479)&gt;1000),"Mid-Value Merchant Day",""))</f>
        <v/>
      </c>
    </row>
    <row r="480">
      <c r="A480" s="3" t="s">
        <v>547</v>
      </c>
      <c r="B480" s="2">
        <v>204</v>
      </c>
      <c r="C480" s="2">
        <v>5</v>
      </c>
      <c r="D480" s="8" t="s">
        <v>1097</v>
      </c>
      <c r="E480" s="6" t="str">
        <f t="shared" si="14"/>
        <v>2026-01-19</v>
      </c>
      <c r="F480" s="2">
        <v>49</v>
      </c>
      <c r="G480" s="3" t="s">
        <v>66</v>
      </c>
      <c r="H480" s="3" t="s">
        <v>64</v>
      </c>
      <c r="I480" s="2">
        <v>38</v>
      </c>
      <c r="J480" s="6" t="str">
        <f>_xlfn.IFNA(VLOOKUP(C480,merchants!$A$1:$D$41,2,0),"Merchant not found")</f>
        <v>Merchant_005</v>
      </c>
      <c r="K480" s="6" t="str">
        <f>_xlfn.IFNA(VLOOKUP(C480,merchants!$A$1:$D$41,3,0),"Merchant not found")</f>
        <v>recharge</v>
      </c>
      <c r="L480" s="6" t="str">
        <f>_xlfn.IFNA(VLOOKUP(C480,merchants!$A$1:$D$41,4,0),"Merchant not found")</f>
        <v>South</v>
      </c>
      <c r="M480" s="9">
        <f t="shared" si="15"/>
        <v>0</v>
      </c>
      <c r="N480" s="6" t="str">
        <f>IF(AND(L480&lt;&gt;"East",SUMIFS(merchant_workbook_pivot_table!$D$2:$D$444,merchant_workbook_pivot_table!$C$2:$C$444,E480,merchant_workbook_pivot_table!$B$2:$B$444,J480)&gt;5000),"High-Value Merchant Day",IF(AND(L480&lt;&gt;"East",SUMIFS(merchant_workbook_pivot_table!$D$2:$D$444,merchant_workbook_pivot_table!$C$2:$C$444,E480,merchant_workbook_pivot_table!$B$2:$B$444,J480)&gt;1000),"Mid-Value Merchant Day",""))</f>
        <v/>
      </c>
    </row>
    <row r="481">
      <c r="A481" s="3" t="s">
        <v>548</v>
      </c>
      <c r="B481" s="2">
        <v>291</v>
      </c>
      <c r="C481" s="2">
        <v>25</v>
      </c>
      <c r="D481" s="8" t="s">
        <v>1098</v>
      </c>
      <c r="E481" s="6" t="str">
        <f t="shared" si="14"/>
        <v>2026-01-06</v>
      </c>
      <c r="F481" s="2">
        <v>99</v>
      </c>
      <c r="G481" s="3" t="s">
        <v>63</v>
      </c>
      <c r="H481" s="3" t="s">
        <v>64</v>
      </c>
      <c r="I481" s="2">
        <v>86</v>
      </c>
      <c r="J481" s="6" t="str">
        <f>_xlfn.IFNA(VLOOKUP(C481,merchants!$A$1:$D$41,2,0),"Merchant not found")</f>
        <v>Merchant_025</v>
      </c>
      <c r="K481" s="6" t="str">
        <f>_xlfn.IFNA(VLOOKUP(C481,merchants!$A$1:$D$41,3,0),"Merchant not found")</f>
        <v>travel</v>
      </c>
      <c r="L481" s="6" t="str">
        <f>_xlfn.IFNA(VLOOKUP(C481,merchants!$A$1:$D$41,4,0),"Merchant not found")</f>
        <v>South</v>
      </c>
      <c r="M481" s="9">
        <f t="shared" si="15"/>
        <v>1.4849999999999999</v>
      </c>
      <c r="N481" s="6" t="str">
        <f>IF(AND(L481&lt;&gt;"East",SUMIFS(merchant_workbook_pivot_table!$D$2:$D$444,merchant_workbook_pivot_table!$C$2:$C$444,E481,merchant_workbook_pivot_table!$B$2:$B$444,J481)&gt;5000),"High-Value Merchant Day",IF(AND(L481&lt;&gt;"East",SUMIFS(merchant_workbook_pivot_table!$D$2:$D$444,merchant_workbook_pivot_table!$C$2:$C$444,E481,merchant_workbook_pivot_table!$B$2:$B$444,J481)&gt;1000),"Mid-Value Merchant Day",""))</f>
        <v/>
      </c>
    </row>
    <row r="482">
      <c r="A482" s="3" t="s">
        <v>549</v>
      </c>
      <c r="B482" s="2">
        <v>197</v>
      </c>
      <c r="C482" s="2">
        <v>9</v>
      </c>
      <c r="D482" s="8" t="s">
        <v>1099</v>
      </c>
      <c r="E482" s="6" t="str">
        <f t="shared" si="14"/>
        <v>2026-01-29</v>
      </c>
      <c r="F482" s="2">
        <v>49</v>
      </c>
      <c r="G482" s="3" t="s">
        <v>63</v>
      </c>
      <c r="H482" s="3" t="s">
        <v>79</v>
      </c>
      <c r="I482" s="2">
        <v>88</v>
      </c>
      <c r="J482" s="6" t="str">
        <f>_xlfn.IFNA(VLOOKUP(C482,merchants!$A$1:$D$41,2,0),"Merchant not found")</f>
        <v>Merchant_009</v>
      </c>
      <c r="K482" s="6" t="str">
        <f>_xlfn.IFNA(VLOOKUP(C482,merchants!$A$1:$D$41,3,0),"Merchant not found")</f>
        <v>ecommerce</v>
      </c>
      <c r="L482" s="6" t="str">
        <f>_xlfn.IFNA(VLOOKUP(C482,merchants!$A$1:$D$41,4,0),"Merchant not found")</f>
        <v>North</v>
      </c>
      <c r="M482" s="9">
        <f t="shared" si="15"/>
        <v>0.73499999999999999</v>
      </c>
      <c r="N482" s="6" t="str">
        <f>IF(AND(L482&lt;&gt;"East",SUMIFS(merchant_workbook_pivot_table!$D$2:$D$444,merchant_workbook_pivot_table!$C$2:$C$444,E482,merchant_workbook_pivot_table!$B$2:$B$444,J482)&gt;5000),"High-Value Merchant Day",IF(AND(L482&lt;&gt;"East",SUMIFS(merchant_workbook_pivot_table!$D$2:$D$444,merchant_workbook_pivot_table!$C$2:$C$444,E482,merchant_workbook_pivot_table!$B$2:$B$444,J482)&gt;1000),"Mid-Value Merchant Day",""))</f>
        <v/>
      </c>
    </row>
    <row r="483">
      <c r="A483" s="3" t="s">
        <v>550</v>
      </c>
      <c r="B483" s="2">
        <v>178</v>
      </c>
      <c r="C483" s="2">
        <v>4</v>
      </c>
      <c r="D483" s="8" t="s">
        <v>1100</v>
      </c>
      <c r="E483" s="6" t="str">
        <f t="shared" si="14"/>
        <v>2026-01-24</v>
      </c>
      <c r="F483" s="2">
        <v>1499</v>
      </c>
      <c r="G483" s="3" t="s">
        <v>66</v>
      </c>
      <c r="H483" s="3" t="s">
        <v>64</v>
      </c>
      <c r="I483" s="2">
        <v>12</v>
      </c>
      <c r="J483" s="6" t="str">
        <f>_xlfn.IFNA(VLOOKUP(C483,merchants!$A$1:$D$41,2,0),"Merchant not found")</f>
        <v>Merchant_004</v>
      </c>
      <c r="K483" s="6" t="str">
        <f>_xlfn.IFNA(VLOOKUP(C483,merchants!$A$1:$D$41,3,0),"Merchant not found")</f>
        <v>ecommerce</v>
      </c>
      <c r="L483" s="6" t="str">
        <f>_xlfn.IFNA(VLOOKUP(C483,merchants!$A$1:$D$41,4,0),"Merchant not found")</f>
        <v>East</v>
      </c>
      <c r="M483" s="9">
        <f t="shared" si="15"/>
        <v>0</v>
      </c>
      <c r="N483" s="6" t="str">
        <f>IF(AND(L483&lt;&gt;"East",SUMIFS(merchant_workbook_pivot_table!$D$2:$D$444,merchant_workbook_pivot_table!$C$2:$C$444,E483,merchant_workbook_pivot_table!$B$2:$B$444,J483)&gt;5000),"High-Value Merchant Day",IF(AND(L483&lt;&gt;"East",SUMIFS(merchant_workbook_pivot_table!$D$2:$D$444,merchant_workbook_pivot_table!$C$2:$C$444,E483,merchant_workbook_pivot_table!$B$2:$B$444,J483)&gt;1000),"Mid-Value Merchant Day",""))</f>
        <v/>
      </c>
    </row>
    <row r="484">
      <c r="A484" s="3" t="s">
        <v>551</v>
      </c>
      <c r="B484" s="2">
        <v>39</v>
      </c>
      <c r="C484" s="2">
        <v>22</v>
      </c>
      <c r="D484" s="8" t="s">
        <v>1101</v>
      </c>
      <c r="E484" s="6" t="str">
        <f t="shared" si="14"/>
        <v>2026-01-14</v>
      </c>
      <c r="F484" s="2">
        <v>799</v>
      </c>
      <c r="G484" s="3" t="s">
        <v>69</v>
      </c>
      <c r="H484" s="3" t="s">
        <v>64</v>
      </c>
      <c r="I484" s="2">
        <v>77</v>
      </c>
      <c r="J484" s="6" t="str">
        <f>_xlfn.IFNA(VLOOKUP(C484,merchants!$A$1:$D$41,2,0),"Merchant not found")</f>
        <v>Merchant_022</v>
      </c>
      <c r="K484" s="6" t="str">
        <f>_xlfn.IFNA(VLOOKUP(C484,merchants!$A$1:$D$41,3,0),"Merchant not found")</f>
        <v>travel</v>
      </c>
      <c r="L484" s="6" t="str">
        <f>_xlfn.IFNA(VLOOKUP(C484,merchants!$A$1:$D$41,4,0),"Merchant not found")</f>
        <v>South</v>
      </c>
      <c r="M484" s="9">
        <f t="shared" si="15"/>
        <v>7.9900000000000002</v>
      </c>
      <c r="N484" s="6" t="str">
        <f>IF(AND(L484&lt;&gt;"East",SUMIFS(merchant_workbook_pivot_table!$D$2:$D$444,merchant_workbook_pivot_table!$C$2:$C$444,E484,merchant_workbook_pivot_table!$B$2:$B$444,J484)&gt;5000),"High-Value Merchant Day",IF(AND(L484&lt;&gt;"East",SUMIFS(merchant_workbook_pivot_table!$D$2:$D$444,merchant_workbook_pivot_table!$C$2:$C$444,E484,merchant_workbook_pivot_table!$B$2:$B$444,J484)&gt;1000),"Mid-Value Merchant Day",""))</f>
        <v/>
      </c>
    </row>
    <row r="485">
      <c r="A485" s="3" t="s">
        <v>552</v>
      </c>
      <c r="B485" s="2">
        <v>204</v>
      </c>
      <c r="C485" s="2">
        <v>21</v>
      </c>
      <c r="D485" s="8" t="s">
        <v>1102</v>
      </c>
      <c r="E485" s="6" t="str">
        <f t="shared" si="14"/>
        <v>2026-01-25</v>
      </c>
      <c r="F485" s="2">
        <v>299</v>
      </c>
      <c r="G485" s="3" t="s">
        <v>63</v>
      </c>
      <c r="H485" s="3" t="s">
        <v>64</v>
      </c>
      <c r="I485" s="2">
        <v>3</v>
      </c>
      <c r="J485" s="6" t="str">
        <f>_xlfn.IFNA(VLOOKUP(C485,merchants!$A$1:$D$41,2,0),"Merchant not found")</f>
        <v>Merchant_021</v>
      </c>
      <c r="K485" s="6" t="str">
        <f>_xlfn.IFNA(VLOOKUP(C485,merchants!$A$1:$D$41,3,0),"Merchant not found")</f>
        <v>food_delivery</v>
      </c>
      <c r="L485" s="6" t="str">
        <f>_xlfn.IFNA(VLOOKUP(C485,merchants!$A$1:$D$41,4,0),"Merchant not found")</f>
        <v>East</v>
      </c>
      <c r="M485" s="9">
        <f t="shared" si="15"/>
        <v>4.4849999999999994</v>
      </c>
      <c r="N485" s="6" t="str">
        <f>IF(AND(L485&lt;&gt;"East",SUMIFS(merchant_workbook_pivot_table!$D$2:$D$444,merchant_workbook_pivot_table!$C$2:$C$444,E485,merchant_workbook_pivot_table!$B$2:$B$444,J485)&gt;5000),"High-Value Merchant Day",IF(AND(L485&lt;&gt;"East",SUMIFS(merchant_workbook_pivot_table!$D$2:$D$444,merchant_workbook_pivot_table!$C$2:$C$444,E485,merchant_workbook_pivot_table!$B$2:$B$444,J485)&gt;1000),"Mid-Value Merchant Day",""))</f>
        <v/>
      </c>
    </row>
    <row r="486">
      <c r="A486" s="3" t="s">
        <v>553</v>
      </c>
      <c r="B486" s="2">
        <v>231</v>
      </c>
      <c r="C486" s="2">
        <v>32</v>
      </c>
      <c r="D486" s="8" t="s">
        <v>1103</v>
      </c>
      <c r="E486" s="6" t="str">
        <f t="shared" si="14"/>
        <v>2026-01-21</v>
      </c>
      <c r="F486" s="2">
        <v>299</v>
      </c>
      <c r="G486" s="3" t="s">
        <v>66</v>
      </c>
      <c r="H486" s="3" t="s">
        <v>64</v>
      </c>
      <c r="I486" s="2">
        <v>29</v>
      </c>
      <c r="J486" s="6" t="str">
        <f>_xlfn.IFNA(VLOOKUP(C486,merchants!$A$1:$D$41,2,0),"Merchant not found")</f>
        <v>Merchant_032</v>
      </c>
      <c r="K486" s="6" t="str">
        <f>_xlfn.IFNA(VLOOKUP(C486,merchants!$A$1:$D$41,3,0),"Merchant not found")</f>
        <v>food_delivery</v>
      </c>
      <c r="L486" s="6" t="str">
        <f>_xlfn.IFNA(VLOOKUP(C486,merchants!$A$1:$D$41,4,0),"Merchant not found")</f>
        <v>West</v>
      </c>
      <c r="M486" s="9">
        <f t="shared" si="15"/>
        <v>0</v>
      </c>
      <c r="N486" s="6" t="str">
        <f>IF(AND(L486&lt;&gt;"East",SUMIFS(merchant_workbook_pivot_table!$D$2:$D$444,merchant_workbook_pivot_table!$C$2:$C$444,E486,merchant_workbook_pivot_table!$B$2:$B$444,J486)&gt;5000),"High-Value Merchant Day",IF(AND(L486&lt;&gt;"East",SUMIFS(merchant_workbook_pivot_table!$D$2:$D$444,merchant_workbook_pivot_table!$C$2:$C$444,E486,merchant_workbook_pivot_table!$B$2:$B$444,J486)&gt;1000),"Mid-Value Merchant Day",""))</f>
        <v/>
      </c>
    </row>
    <row r="487">
      <c r="A487" s="3" t="s">
        <v>554</v>
      </c>
      <c r="B487" s="2">
        <v>222</v>
      </c>
      <c r="C487" s="2">
        <v>12</v>
      </c>
      <c r="D487" s="8" t="s">
        <v>1104</v>
      </c>
      <c r="E487" s="6" t="str">
        <f t="shared" si="14"/>
        <v>2026-01-12</v>
      </c>
      <c r="F487" s="2">
        <v>499</v>
      </c>
      <c r="G487" s="3" t="s">
        <v>63</v>
      </c>
      <c r="H487" s="3" t="s">
        <v>79</v>
      </c>
      <c r="I487" s="2">
        <v>87</v>
      </c>
      <c r="J487" s="6" t="str">
        <f>_xlfn.IFNA(VLOOKUP(C487,merchants!$A$1:$D$41,2,0),"Merchant not found")</f>
        <v>Merchant_012</v>
      </c>
      <c r="K487" s="6" t="str">
        <f>_xlfn.IFNA(VLOOKUP(C487,merchants!$A$1:$D$41,3,0),"Merchant not found")</f>
        <v>ecommerce</v>
      </c>
      <c r="L487" s="6" t="str">
        <f>_xlfn.IFNA(VLOOKUP(C487,merchants!$A$1:$D$41,4,0),"Merchant not found")</f>
        <v>East</v>
      </c>
      <c r="M487" s="9">
        <f t="shared" si="15"/>
        <v>7.4849999999999994</v>
      </c>
      <c r="N487" s="6" t="str">
        <f>IF(AND(L487&lt;&gt;"East",SUMIFS(merchant_workbook_pivot_table!$D$2:$D$444,merchant_workbook_pivot_table!$C$2:$C$444,E487,merchant_workbook_pivot_table!$B$2:$B$444,J487)&gt;5000),"High-Value Merchant Day",IF(AND(L487&lt;&gt;"East",SUMIFS(merchant_workbook_pivot_table!$D$2:$D$444,merchant_workbook_pivot_table!$C$2:$C$444,E487,merchant_workbook_pivot_table!$B$2:$B$444,J487)&gt;1000),"Mid-Value Merchant Day",""))</f>
        <v/>
      </c>
    </row>
    <row r="488">
      <c r="A488" s="3" t="s">
        <v>555</v>
      </c>
      <c r="B488" s="2">
        <v>44</v>
      </c>
      <c r="C488" s="2">
        <v>40</v>
      </c>
      <c r="D488" s="8" t="s">
        <v>1105</v>
      </c>
      <c r="E488" s="6" t="str">
        <f t="shared" si="14"/>
        <v>2026-01-19</v>
      </c>
      <c r="F488" s="2">
        <v>499</v>
      </c>
      <c r="G488" s="3" t="s">
        <v>66</v>
      </c>
      <c r="H488" s="3" t="s">
        <v>64</v>
      </c>
      <c r="I488" s="2">
        <v>37</v>
      </c>
      <c r="J488" s="6" t="str">
        <f>_xlfn.IFNA(VLOOKUP(C488,merchants!$A$1:$D$41,2,0),"Merchant not found")</f>
        <v>Merchant_040</v>
      </c>
      <c r="K488" s="6" t="str">
        <f>_xlfn.IFNA(VLOOKUP(C488,merchants!$A$1:$D$41,3,0),"Merchant not found")</f>
        <v>entertainment</v>
      </c>
      <c r="L488" s="6" t="str">
        <f>_xlfn.IFNA(VLOOKUP(C488,merchants!$A$1:$D$41,4,0),"Merchant not found")</f>
        <v>South</v>
      </c>
      <c r="M488" s="9">
        <f t="shared" si="15"/>
        <v>0</v>
      </c>
      <c r="N488" s="6" t="str">
        <f>IF(AND(L488&lt;&gt;"East",SUMIFS(merchant_workbook_pivot_table!$D$2:$D$444,merchant_workbook_pivot_table!$C$2:$C$444,E488,merchant_workbook_pivot_table!$B$2:$B$444,J488)&gt;5000),"High-Value Merchant Day",IF(AND(L488&lt;&gt;"East",SUMIFS(merchant_workbook_pivot_table!$D$2:$D$444,merchant_workbook_pivot_table!$C$2:$C$444,E488,merchant_workbook_pivot_table!$B$2:$B$444,J488)&gt;1000),"Mid-Value Merchant Day",""))</f>
        <v/>
      </c>
    </row>
    <row r="489">
      <c r="A489" s="3" t="s">
        <v>556</v>
      </c>
      <c r="B489" s="2">
        <v>38</v>
      </c>
      <c r="C489" s="2">
        <v>6</v>
      </c>
      <c r="D489" s="8" t="s">
        <v>1106</v>
      </c>
      <c r="E489" s="6" t="str">
        <f t="shared" si="14"/>
        <v>2026-01-26</v>
      </c>
      <c r="F489" s="2">
        <v>49</v>
      </c>
      <c r="G489" s="3" t="s">
        <v>63</v>
      </c>
      <c r="H489" s="3" t="s">
        <v>64</v>
      </c>
      <c r="I489" s="2">
        <v>34</v>
      </c>
      <c r="J489" s="6" t="str">
        <f>_xlfn.IFNA(VLOOKUP(C489,merchants!$A$1:$D$41,2,0),"Merchant not found")</f>
        <v>Merchant_006</v>
      </c>
      <c r="K489" s="6" t="str">
        <f>_xlfn.IFNA(VLOOKUP(C489,merchants!$A$1:$D$41,3,0),"Merchant not found")</f>
        <v>food_delivery</v>
      </c>
      <c r="L489" s="6" t="str">
        <f>_xlfn.IFNA(VLOOKUP(C489,merchants!$A$1:$D$41,4,0),"Merchant not found")</f>
        <v>South</v>
      </c>
      <c r="M489" s="9">
        <f t="shared" si="15"/>
        <v>0.73499999999999999</v>
      </c>
      <c r="N489" s="6" t="str">
        <f>IF(AND(L489&lt;&gt;"East",SUMIFS(merchant_workbook_pivot_table!$D$2:$D$444,merchant_workbook_pivot_table!$C$2:$C$444,E489,merchant_workbook_pivot_table!$B$2:$B$444,J489)&gt;5000),"High-Value Merchant Day",IF(AND(L489&lt;&gt;"East",SUMIFS(merchant_workbook_pivot_table!$D$2:$D$444,merchant_workbook_pivot_table!$C$2:$C$444,E489,merchant_workbook_pivot_table!$B$2:$B$444,J489)&gt;1000),"Mid-Value Merchant Day",""))</f>
        <v/>
      </c>
    </row>
    <row r="490">
      <c r="A490" s="3" t="s">
        <v>557</v>
      </c>
      <c r="B490" s="2">
        <v>325</v>
      </c>
      <c r="C490" s="2">
        <v>10</v>
      </c>
      <c r="D490" s="8" t="s">
        <v>1107</v>
      </c>
      <c r="E490" s="6" t="str">
        <f t="shared" si="14"/>
        <v>2026-01-05</v>
      </c>
      <c r="F490" s="2">
        <v>49</v>
      </c>
      <c r="G490" s="3" t="s">
        <v>69</v>
      </c>
      <c r="H490" s="3" t="s">
        <v>92</v>
      </c>
      <c r="I490" s="2">
        <v>94</v>
      </c>
      <c r="J490" s="6" t="str">
        <f>_xlfn.IFNA(VLOOKUP(C490,merchants!$A$1:$D$41,2,0),"Merchant not found")</f>
        <v>Merchant_010</v>
      </c>
      <c r="K490" s="6" t="str">
        <f>_xlfn.IFNA(VLOOKUP(C490,merchants!$A$1:$D$41,3,0),"Merchant not found")</f>
        <v>grocery</v>
      </c>
      <c r="L490" s="6" t="str">
        <f>_xlfn.IFNA(VLOOKUP(C490,merchants!$A$1:$D$41,4,0),"Merchant not found")</f>
        <v>West</v>
      </c>
      <c r="M490" s="9">
        <f t="shared" si="15"/>
        <v>0.48999999999999999</v>
      </c>
      <c r="N490" s="6" t="str">
        <f>IF(AND(L490&lt;&gt;"East",SUMIFS(merchant_workbook_pivot_table!$D$2:$D$444,merchant_workbook_pivot_table!$C$2:$C$444,E490,merchant_workbook_pivot_table!$B$2:$B$444,J490)&gt;5000),"High-Value Merchant Day",IF(AND(L490&lt;&gt;"East",SUMIFS(merchant_workbook_pivot_table!$D$2:$D$444,merchant_workbook_pivot_table!$C$2:$C$444,E490,merchant_workbook_pivot_table!$B$2:$B$444,J490)&gt;1000),"Mid-Value Merchant Day",""))</f>
        <v/>
      </c>
    </row>
    <row r="491">
      <c r="A491" s="3" t="s">
        <v>558</v>
      </c>
      <c r="B491" s="2">
        <v>55</v>
      </c>
      <c r="C491" s="2">
        <v>6</v>
      </c>
      <c r="D491" s="8" t="s">
        <v>1108</v>
      </c>
      <c r="E491" s="6" t="str">
        <f t="shared" si="14"/>
        <v>2026-01-13</v>
      </c>
      <c r="F491" s="2">
        <v>1499</v>
      </c>
      <c r="G491" s="3" t="s">
        <v>78</v>
      </c>
      <c r="H491" s="3" t="s">
        <v>64</v>
      </c>
      <c r="I491" s="2">
        <v>0</v>
      </c>
      <c r="J491" s="6" t="str">
        <f>_xlfn.IFNA(VLOOKUP(C491,merchants!$A$1:$D$41,2,0),"Merchant not found")</f>
        <v>Merchant_006</v>
      </c>
      <c r="K491" s="6" t="str">
        <f>_xlfn.IFNA(VLOOKUP(C491,merchants!$A$1:$D$41,3,0),"Merchant not found")</f>
        <v>food_delivery</v>
      </c>
      <c r="L491" s="6" t="str">
        <f>_xlfn.IFNA(VLOOKUP(C491,merchants!$A$1:$D$41,4,0),"Merchant not found")</f>
        <v>South</v>
      </c>
      <c r="M491" s="9">
        <f t="shared" si="15"/>
        <v>29.98</v>
      </c>
      <c r="N491" s="6" t="str">
        <f>IF(AND(L491&lt;&gt;"East",SUMIFS(merchant_workbook_pivot_table!$D$2:$D$444,merchant_workbook_pivot_table!$C$2:$C$444,E491,merchant_workbook_pivot_table!$B$2:$B$444,J491)&gt;5000),"High-Value Merchant Day",IF(AND(L491&lt;&gt;"East",SUMIFS(merchant_workbook_pivot_table!$D$2:$D$444,merchant_workbook_pivot_table!$C$2:$C$444,E491,merchant_workbook_pivot_table!$B$2:$B$444,J491)&gt;1000),"Mid-Value Merchant Day",""))</f>
        <v xml:space="preserve">Mid-Value Merchant Day</v>
      </c>
    </row>
    <row r="492">
      <c r="A492" s="3" t="s">
        <v>559</v>
      </c>
      <c r="B492" s="2">
        <v>139</v>
      </c>
      <c r="C492" s="2">
        <v>7</v>
      </c>
      <c r="D492" s="8" t="s">
        <v>1109</v>
      </c>
      <c r="E492" s="6" t="str">
        <f t="shared" si="14"/>
        <v>2026-01-10</v>
      </c>
      <c r="F492" s="2">
        <v>499</v>
      </c>
      <c r="G492" s="3" t="s">
        <v>78</v>
      </c>
      <c r="H492" s="3" t="s">
        <v>64</v>
      </c>
      <c r="I492" s="2">
        <v>16</v>
      </c>
      <c r="J492" s="6" t="str">
        <f>_xlfn.IFNA(VLOOKUP(C492,merchants!$A$1:$D$41,2,0),"Merchant not found")</f>
        <v>Merchant_007</v>
      </c>
      <c r="K492" s="6" t="str">
        <f>_xlfn.IFNA(VLOOKUP(C492,merchants!$A$1:$D$41,3,0),"Merchant not found")</f>
        <v>food_delivery</v>
      </c>
      <c r="L492" s="6" t="str">
        <f>_xlfn.IFNA(VLOOKUP(C492,merchants!$A$1:$D$41,4,0),"Merchant not found")</f>
        <v>East</v>
      </c>
      <c r="M492" s="9">
        <f t="shared" si="15"/>
        <v>9.9800000000000004</v>
      </c>
      <c r="N492" s="6" t="str">
        <f>IF(AND(L492&lt;&gt;"East",SUMIFS(merchant_workbook_pivot_table!$D$2:$D$444,merchant_workbook_pivot_table!$C$2:$C$444,E492,merchant_workbook_pivot_table!$B$2:$B$444,J492)&gt;5000),"High-Value Merchant Day",IF(AND(L492&lt;&gt;"East",SUMIFS(merchant_workbook_pivot_table!$D$2:$D$444,merchant_workbook_pivot_table!$C$2:$C$444,E492,merchant_workbook_pivot_table!$B$2:$B$444,J492)&gt;1000),"Mid-Value Merchant Day",""))</f>
        <v/>
      </c>
    </row>
    <row r="493">
      <c r="A493" s="3" t="s">
        <v>560</v>
      </c>
      <c r="B493" s="2">
        <v>230</v>
      </c>
      <c r="C493" s="2">
        <v>36</v>
      </c>
      <c r="D493" s="8" t="s">
        <v>1110</v>
      </c>
      <c r="E493" s="6" t="str">
        <f t="shared" si="14"/>
        <v>2026-01-03</v>
      </c>
      <c r="F493" s="2">
        <v>99</v>
      </c>
      <c r="G493" s="3" t="s">
        <v>63</v>
      </c>
      <c r="H493" s="3" t="s">
        <v>64</v>
      </c>
      <c r="I493" s="2">
        <v>71</v>
      </c>
      <c r="J493" s="6" t="str">
        <f>_xlfn.IFNA(VLOOKUP(C493,merchants!$A$1:$D$41,2,0),"Merchant not found")</f>
        <v>Merchant_036</v>
      </c>
      <c r="K493" s="6" t="str">
        <f>_xlfn.IFNA(VLOOKUP(C493,merchants!$A$1:$D$41,3,0),"Merchant not found")</f>
        <v>entertainment</v>
      </c>
      <c r="L493" s="6" t="str">
        <f>_xlfn.IFNA(VLOOKUP(C493,merchants!$A$1:$D$41,4,0),"Merchant not found")</f>
        <v>East</v>
      </c>
      <c r="M493" s="9">
        <f t="shared" si="15"/>
        <v>1.4849999999999999</v>
      </c>
      <c r="N493" s="6" t="str">
        <f>IF(AND(L493&lt;&gt;"East",SUMIFS(merchant_workbook_pivot_table!$D$2:$D$444,merchant_workbook_pivot_table!$C$2:$C$444,E493,merchant_workbook_pivot_table!$B$2:$B$444,J493)&gt;5000),"High-Value Merchant Day",IF(AND(L493&lt;&gt;"East",SUMIFS(merchant_workbook_pivot_table!$D$2:$D$444,merchant_workbook_pivot_table!$C$2:$C$444,E493,merchant_workbook_pivot_table!$B$2:$B$444,J493)&gt;1000),"Mid-Value Merchant Day",""))</f>
        <v/>
      </c>
    </row>
    <row r="494">
      <c r="A494" s="3" t="s">
        <v>561</v>
      </c>
      <c r="B494" s="2">
        <v>14</v>
      </c>
      <c r="C494" s="2">
        <v>6</v>
      </c>
      <c r="D494" s="8" t="s">
        <v>1111</v>
      </c>
      <c r="E494" s="6" t="str">
        <f t="shared" si="14"/>
        <v>2026-01-17</v>
      </c>
      <c r="F494" s="2">
        <v>799</v>
      </c>
      <c r="G494" s="3" t="s">
        <v>78</v>
      </c>
      <c r="H494" s="3" t="s">
        <v>64</v>
      </c>
      <c r="I494" s="2">
        <v>45</v>
      </c>
      <c r="J494" s="6" t="str">
        <f>_xlfn.IFNA(VLOOKUP(C494,merchants!$A$1:$D$41,2,0),"Merchant not found")</f>
        <v>Merchant_006</v>
      </c>
      <c r="K494" s="6" t="str">
        <f>_xlfn.IFNA(VLOOKUP(C494,merchants!$A$1:$D$41,3,0),"Merchant not found")</f>
        <v>food_delivery</v>
      </c>
      <c r="L494" s="6" t="str">
        <f>_xlfn.IFNA(VLOOKUP(C494,merchants!$A$1:$D$41,4,0),"Merchant not found")</f>
        <v>South</v>
      </c>
      <c r="M494" s="9">
        <f t="shared" si="15"/>
        <v>15.98</v>
      </c>
      <c r="N494" s="6" t="str">
        <f>IF(AND(L494&lt;&gt;"East",SUMIFS(merchant_workbook_pivot_table!$D$2:$D$444,merchant_workbook_pivot_table!$C$2:$C$444,E494,merchant_workbook_pivot_table!$B$2:$B$444,J494)&gt;5000),"High-Value Merchant Day",IF(AND(L494&lt;&gt;"East",SUMIFS(merchant_workbook_pivot_table!$D$2:$D$444,merchant_workbook_pivot_table!$C$2:$C$444,E494,merchant_workbook_pivot_table!$B$2:$B$444,J494)&gt;1000),"Mid-Value Merchant Day",""))</f>
        <v/>
      </c>
    </row>
    <row r="495">
      <c r="A495" s="3" t="s">
        <v>562</v>
      </c>
      <c r="B495" s="2">
        <v>307</v>
      </c>
      <c r="C495" s="2">
        <v>21</v>
      </c>
      <c r="D495" s="8" t="s">
        <v>1112</v>
      </c>
      <c r="E495" s="6" t="str">
        <f t="shared" si="14"/>
        <v>2026-01-18</v>
      </c>
      <c r="F495" s="2">
        <v>799</v>
      </c>
      <c r="G495" s="3" t="s">
        <v>66</v>
      </c>
      <c r="H495" s="3" t="s">
        <v>64</v>
      </c>
      <c r="I495" s="2">
        <v>49</v>
      </c>
      <c r="J495" s="6" t="str">
        <f>_xlfn.IFNA(VLOOKUP(C495,merchants!$A$1:$D$41,2,0),"Merchant not found")</f>
        <v>Merchant_021</v>
      </c>
      <c r="K495" s="6" t="str">
        <f>_xlfn.IFNA(VLOOKUP(C495,merchants!$A$1:$D$41,3,0),"Merchant not found")</f>
        <v>food_delivery</v>
      </c>
      <c r="L495" s="6" t="str">
        <f>_xlfn.IFNA(VLOOKUP(C495,merchants!$A$1:$D$41,4,0),"Merchant not found")</f>
        <v>East</v>
      </c>
      <c r="M495" s="9">
        <f t="shared" si="15"/>
        <v>0</v>
      </c>
      <c r="N495" s="6" t="str">
        <f>IF(AND(L495&lt;&gt;"East",SUMIFS(merchant_workbook_pivot_table!$D$2:$D$444,merchant_workbook_pivot_table!$C$2:$C$444,E495,merchant_workbook_pivot_table!$B$2:$B$444,J495)&gt;5000),"High-Value Merchant Day",IF(AND(L495&lt;&gt;"East",SUMIFS(merchant_workbook_pivot_table!$D$2:$D$444,merchant_workbook_pivot_table!$C$2:$C$444,E495,merchant_workbook_pivot_table!$B$2:$B$444,J495)&gt;1000),"Mid-Value Merchant Day",""))</f>
        <v/>
      </c>
    </row>
    <row r="496">
      <c r="A496" s="3" t="s">
        <v>563</v>
      </c>
      <c r="B496" s="2">
        <v>199</v>
      </c>
      <c r="C496" s="2">
        <v>6</v>
      </c>
      <c r="D496" s="8" t="s">
        <v>1113</v>
      </c>
      <c r="E496" s="6" t="str">
        <f t="shared" si="14"/>
        <v>2026-01-01</v>
      </c>
      <c r="F496" s="2">
        <v>49</v>
      </c>
      <c r="G496" s="3" t="s">
        <v>66</v>
      </c>
      <c r="H496" s="3" t="s">
        <v>64</v>
      </c>
      <c r="I496" s="2">
        <v>92</v>
      </c>
      <c r="J496" s="6" t="str">
        <f>_xlfn.IFNA(VLOOKUP(C496,merchants!$A$1:$D$41,2,0),"Merchant not found")</f>
        <v>Merchant_006</v>
      </c>
      <c r="K496" s="6" t="str">
        <f>_xlfn.IFNA(VLOOKUP(C496,merchants!$A$1:$D$41,3,0),"Merchant not found")</f>
        <v>food_delivery</v>
      </c>
      <c r="L496" s="6" t="str">
        <f>_xlfn.IFNA(VLOOKUP(C496,merchants!$A$1:$D$41,4,0),"Merchant not found")</f>
        <v>South</v>
      </c>
      <c r="M496" s="9">
        <f t="shared" si="15"/>
        <v>0</v>
      </c>
      <c r="N496" s="6" t="str">
        <f>IF(AND(L496&lt;&gt;"East",SUMIFS(merchant_workbook_pivot_table!$D$2:$D$444,merchant_workbook_pivot_table!$C$2:$C$444,E496,merchant_workbook_pivot_table!$B$2:$B$444,J496)&gt;5000),"High-Value Merchant Day",IF(AND(L496&lt;&gt;"East",SUMIFS(merchant_workbook_pivot_table!$D$2:$D$444,merchant_workbook_pivot_table!$C$2:$C$444,E496,merchant_workbook_pivot_table!$B$2:$B$444,J496)&gt;1000),"Mid-Value Merchant Day",""))</f>
        <v/>
      </c>
    </row>
    <row r="497">
      <c r="A497" s="3" t="s">
        <v>564</v>
      </c>
      <c r="B497" s="2">
        <v>125</v>
      </c>
      <c r="C497" s="2">
        <v>37</v>
      </c>
      <c r="D497" s="8" t="s">
        <v>1114</v>
      </c>
      <c r="E497" s="6" t="str">
        <f t="shared" si="14"/>
        <v>2026-01-29</v>
      </c>
      <c r="F497" s="2">
        <v>149</v>
      </c>
      <c r="G497" s="3" t="s">
        <v>63</v>
      </c>
      <c r="H497" s="3" t="s">
        <v>64</v>
      </c>
      <c r="I497" s="2">
        <v>66</v>
      </c>
      <c r="J497" s="6" t="str">
        <f>_xlfn.IFNA(VLOOKUP(C497,merchants!$A$1:$D$41,2,0),"Merchant not found")</f>
        <v>Merchant_037</v>
      </c>
      <c r="K497" s="6" t="str">
        <f>_xlfn.IFNA(VLOOKUP(C497,merchants!$A$1:$D$41,3,0),"Merchant not found")</f>
        <v>entertainment</v>
      </c>
      <c r="L497" s="6" t="str">
        <f>_xlfn.IFNA(VLOOKUP(C497,merchants!$A$1:$D$41,4,0),"Merchant not found")</f>
        <v>South</v>
      </c>
      <c r="M497" s="9">
        <f t="shared" si="15"/>
        <v>2.2349999999999999</v>
      </c>
      <c r="N497" s="6" t="str">
        <f>IF(AND(L497&lt;&gt;"East",SUMIFS(merchant_workbook_pivot_table!$D$2:$D$444,merchant_workbook_pivot_table!$C$2:$C$444,E497,merchant_workbook_pivot_table!$B$2:$B$444,J497)&gt;5000),"High-Value Merchant Day",IF(AND(L497&lt;&gt;"East",SUMIFS(merchant_workbook_pivot_table!$D$2:$D$444,merchant_workbook_pivot_table!$C$2:$C$444,E497,merchant_workbook_pivot_table!$B$2:$B$444,J497)&gt;1000),"Mid-Value Merchant Day",""))</f>
        <v/>
      </c>
    </row>
    <row r="498">
      <c r="A498" s="3" t="s">
        <v>565</v>
      </c>
      <c r="B498" s="2">
        <v>87</v>
      </c>
      <c r="C498" s="2">
        <v>9</v>
      </c>
      <c r="D498" s="8" t="s">
        <v>1115</v>
      </c>
      <c r="E498" s="6" t="str">
        <f t="shared" si="14"/>
        <v>2026-01-06</v>
      </c>
      <c r="F498" s="2">
        <v>149</v>
      </c>
      <c r="G498" s="3" t="s">
        <v>66</v>
      </c>
      <c r="H498" s="3" t="s">
        <v>64</v>
      </c>
      <c r="I498" s="2">
        <v>34</v>
      </c>
      <c r="J498" s="6" t="str">
        <f>_xlfn.IFNA(VLOOKUP(C498,merchants!$A$1:$D$41,2,0),"Merchant not found")</f>
        <v>Merchant_009</v>
      </c>
      <c r="K498" s="6" t="str">
        <f>_xlfn.IFNA(VLOOKUP(C498,merchants!$A$1:$D$41,3,0),"Merchant not found")</f>
        <v>ecommerce</v>
      </c>
      <c r="L498" s="6" t="str">
        <f>_xlfn.IFNA(VLOOKUP(C498,merchants!$A$1:$D$41,4,0),"Merchant not found")</f>
        <v>North</v>
      </c>
      <c r="M498" s="9">
        <f t="shared" si="15"/>
        <v>0</v>
      </c>
      <c r="N498" s="6" t="str">
        <f>IF(AND(L498&lt;&gt;"East",SUMIFS(merchant_workbook_pivot_table!$D$2:$D$444,merchant_workbook_pivot_table!$C$2:$C$444,E498,merchant_workbook_pivot_table!$B$2:$B$444,J498)&gt;5000),"High-Value Merchant Day",IF(AND(L498&lt;&gt;"East",SUMIFS(merchant_workbook_pivot_table!$D$2:$D$444,merchant_workbook_pivot_table!$C$2:$C$444,E498,merchant_workbook_pivot_table!$B$2:$B$444,J498)&gt;1000),"Mid-Value Merchant Day",""))</f>
        <v/>
      </c>
    </row>
    <row r="499">
      <c r="A499" s="3" t="s">
        <v>566</v>
      </c>
      <c r="B499" s="2">
        <v>75</v>
      </c>
      <c r="C499" s="2">
        <v>5</v>
      </c>
      <c r="D499" s="8" t="s">
        <v>1116</v>
      </c>
      <c r="E499" s="6" t="str">
        <f t="shared" si="14"/>
        <v>2026-01-10</v>
      </c>
      <c r="F499" s="2">
        <v>99</v>
      </c>
      <c r="G499" s="3" t="s">
        <v>66</v>
      </c>
      <c r="H499" s="3" t="s">
        <v>64</v>
      </c>
      <c r="I499" s="2">
        <v>21</v>
      </c>
      <c r="J499" s="6" t="str">
        <f>_xlfn.IFNA(VLOOKUP(C499,merchants!$A$1:$D$41,2,0),"Merchant not found")</f>
        <v>Merchant_005</v>
      </c>
      <c r="K499" s="6" t="str">
        <f>_xlfn.IFNA(VLOOKUP(C499,merchants!$A$1:$D$41,3,0),"Merchant not found")</f>
        <v>recharge</v>
      </c>
      <c r="L499" s="6" t="str">
        <f>_xlfn.IFNA(VLOOKUP(C499,merchants!$A$1:$D$41,4,0),"Merchant not found")</f>
        <v>South</v>
      </c>
      <c r="M499" s="9">
        <f t="shared" si="15"/>
        <v>0</v>
      </c>
      <c r="N499" s="6" t="str">
        <f>IF(AND(L499&lt;&gt;"East",SUMIFS(merchant_workbook_pivot_table!$D$2:$D$444,merchant_workbook_pivot_table!$C$2:$C$444,E499,merchant_workbook_pivot_table!$B$2:$B$444,J499)&gt;5000),"High-Value Merchant Day",IF(AND(L499&lt;&gt;"East",SUMIFS(merchant_workbook_pivot_table!$D$2:$D$444,merchant_workbook_pivot_table!$C$2:$C$444,E499,merchant_workbook_pivot_table!$B$2:$B$444,J499)&gt;1000),"Mid-Value Merchant Day",""))</f>
        <v/>
      </c>
    </row>
    <row r="500">
      <c r="A500" s="3" t="s">
        <v>567</v>
      </c>
      <c r="B500" s="2">
        <v>154</v>
      </c>
      <c r="C500" s="2">
        <v>31</v>
      </c>
      <c r="D500" s="8" t="s">
        <v>1117</v>
      </c>
      <c r="E500" s="6" t="str">
        <f t="shared" si="14"/>
        <v>2026-01-14</v>
      </c>
      <c r="F500" s="2">
        <v>499</v>
      </c>
      <c r="G500" s="3" t="s">
        <v>63</v>
      </c>
      <c r="H500" s="3" t="s">
        <v>64</v>
      </c>
      <c r="I500" s="2">
        <v>100</v>
      </c>
      <c r="J500" s="6" t="str">
        <f>_xlfn.IFNA(VLOOKUP(C500,merchants!$A$1:$D$41,2,0),"Merchant not found")</f>
        <v>Merchant_031</v>
      </c>
      <c r="K500" s="6" t="str">
        <f>_xlfn.IFNA(VLOOKUP(C500,merchants!$A$1:$D$41,3,0),"Merchant not found")</f>
        <v>bill_payment</v>
      </c>
      <c r="L500" s="6" t="str">
        <f>_xlfn.IFNA(VLOOKUP(C500,merchants!$A$1:$D$41,4,0),"Merchant not found")</f>
        <v>East</v>
      </c>
      <c r="M500" s="9">
        <f t="shared" si="15"/>
        <v>7.4849999999999994</v>
      </c>
      <c r="N500" s="6" t="str">
        <f>IF(AND(L500&lt;&gt;"East",SUMIFS(merchant_workbook_pivot_table!$D$2:$D$444,merchant_workbook_pivot_table!$C$2:$C$444,E500,merchant_workbook_pivot_table!$B$2:$B$444,J500)&gt;5000),"High-Value Merchant Day",IF(AND(L500&lt;&gt;"East",SUMIFS(merchant_workbook_pivot_table!$D$2:$D$444,merchant_workbook_pivot_table!$C$2:$C$444,E500,merchant_workbook_pivot_table!$B$2:$B$444,J500)&gt;1000),"Mid-Value Merchant Day",""))</f>
        <v/>
      </c>
    </row>
    <row r="501">
      <c r="A501" s="3" t="s">
        <v>568</v>
      </c>
      <c r="B501" s="2">
        <v>127</v>
      </c>
      <c r="C501" s="2">
        <v>32</v>
      </c>
      <c r="D501" s="8" t="s">
        <v>1118</v>
      </c>
      <c r="E501" s="6" t="str">
        <f t="shared" si="14"/>
        <v>2026-01-03</v>
      </c>
      <c r="F501" s="2">
        <v>149</v>
      </c>
      <c r="G501" s="3" t="s">
        <v>78</v>
      </c>
      <c r="H501" s="3" t="s">
        <v>64</v>
      </c>
      <c r="I501" s="2">
        <v>76</v>
      </c>
      <c r="J501" s="6" t="str">
        <f>_xlfn.IFNA(VLOOKUP(C501,merchants!$A$1:$D$41,2,0),"Merchant not found")</f>
        <v>Merchant_032</v>
      </c>
      <c r="K501" s="6" t="str">
        <f>_xlfn.IFNA(VLOOKUP(C501,merchants!$A$1:$D$41,3,0),"Merchant not found")</f>
        <v>food_delivery</v>
      </c>
      <c r="L501" s="6" t="str">
        <f>_xlfn.IFNA(VLOOKUP(C501,merchants!$A$1:$D$41,4,0),"Merchant not found")</f>
        <v>West</v>
      </c>
      <c r="M501" s="9">
        <f t="shared" si="15"/>
        <v>2.98</v>
      </c>
      <c r="N501" s="6" t="str">
        <f>IF(AND(L501&lt;&gt;"East",SUMIFS(merchant_workbook_pivot_table!$D$2:$D$444,merchant_workbook_pivot_table!$C$2:$C$444,E501,merchant_workbook_pivot_table!$B$2:$B$444,J501)&gt;5000),"High-Value Merchant Day",IF(AND(L501&lt;&gt;"East",SUMIFS(merchant_workbook_pivot_table!$D$2:$D$444,merchant_workbook_pivot_table!$C$2:$C$444,E501,merchant_workbook_pivot_table!$B$2:$B$444,J501)&gt;1000),"Mid-Value Merchant Day",""))</f>
        <v/>
      </c>
    </row>
    <row r="502">
      <c r="A502" s="3" t="s">
        <v>569</v>
      </c>
      <c r="B502" s="2">
        <v>351</v>
      </c>
      <c r="C502" s="2">
        <v>7</v>
      </c>
      <c r="D502" s="8" t="s">
        <v>1119</v>
      </c>
      <c r="E502" s="6" t="str">
        <f t="shared" si="14"/>
        <v>2026-01-30</v>
      </c>
      <c r="F502" s="2">
        <v>1999</v>
      </c>
      <c r="G502" s="3" t="s">
        <v>78</v>
      </c>
      <c r="H502" s="3" t="s">
        <v>92</v>
      </c>
      <c r="I502" s="2">
        <v>79</v>
      </c>
      <c r="J502" s="6" t="str">
        <f>_xlfn.IFNA(VLOOKUP(C502,merchants!$A$1:$D$41,2,0),"Merchant not found")</f>
        <v>Merchant_007</v>
      </c>
      <c r="K502" s="6" t="str">
        <f>_xlfn.IFNA(VLOOKUP(C502,merchants!$A$1:$D$41,3,0),"Merchant not found")</f>
        <v>food_delivery</v>
      </c>
      <c r="L502" s="6" t="str">
        <f>_xlfn.IFNA(VLOOKUP(C502,merchants!$A$1:$D$41,4,0),"Merchant not found")</f>
        <v>East</v>
      </c>
      <c r="M502" s="9">
        <f t="shared" si="15"/>
        <v>39.980000000000004</v>
      </c>
      <c r="N502" s="6" t="str">
        <f>IF(AND(L502&lt;&gt;"East",SUMIFS(merchant_workbook_pivot_table!$D$2:$D$444,merchant_workbook_pivot_table!$C$2:$C$444,E502,merchant_workbook_pivot_table!$B$2:$B$444,J502)&gt;5000),"High-Value Merchant Day",IF(AND(L502&lt;&gt;"East",SUMIFS(merchant_workbook_pivot_table!$D$2:$D$444,merchant_workbook_pivot_table!$C$2:$C$444,E502,merchant_workbook_pivot_table!$B$2:$B$444,J502)&gt;1000),"Mid-Value Merchant Day",""))</f>
        <v/>
      </c>
    </row>
    <row r="503">
      <c r="A503" s="3" t="s">
        <v>570</v>
      </c>
      <c r="B503" s="2">
        <v>352</v>
      </c>
      <c r="C503" s="2">
        <v>40</v>
      </c>
      <c r="D503" s="8" t="s">
        <v>1120</v>
      </c>
      <c r="E503" s="6" t="str">
        <f t="shared" si="14"/>
        <v>2026-01-11</v>
      </c>
      <c r="F503" s="2">
        <v>4999</v>
      </c>
      <c r="G503" s="3" t="s">
        <v>78</v>
      </c>
      <c r="H503" s="3" t="s">
        <v>92</v>
      </c>
      <c r="I503" s="2">
        <v>95</v>
      </c>
      <c r="J503" s="6" t="str">
        <f>_xlfn.IFNA(VLOOKUP(C503,merchants!$A$1:$D$41,2,0),"Merchant not found")</f>
        <v>Merchant_040</v>
      </c>
      <c r="K503" s="6" t="str">
        <f>_xlfn.IFNA(VLOOKUP(C503,merchants!$A$1:$D$41,3,0),"Merchant not found")</f>
        <v>entertainment</v>
      </c>
      <c r="L503" s="6" t="str">
        <f>_xlfn.IFNA(VLOOKUP(C503,merchants!$A$1:$D$41,4,0),"Merchant not found")</f>
        <v>South</v>
      </c>
      <c r="M503" s="9">
        <f t="shared" si="15"/>
        <v>99.980000000000004</v>
      </c>
      <c r="N503" s="6" t="str">
        <f>IF(AND(L503&lt;&gt;"East",SUMIFS(merchant_workbook_pivot_table!$D$2:$D$444,merchant_workbook_pivot_table!$C$2:$C$444,E503,merchant_workbook_pivot_table!$B$2:$B$444,J503)&gt;5000),"High-Value Merchant Day",IF(AND(L503&lt;&gt;"East",SUMIFS(merchant_workbook_pivot_table!$D$2:$D$444,merchant_workbook_pivot_table!$C$2:$C$444,E503,merchant_workbook_pivot_table!$B$2:$B$444,J503)&gt;1000),"Mid-Value Merchant Day",""))</f>
        <v xml:space="preserve">Mid-Value Merchant Day</v>
      </c>
    </row>
    <row r="504">
      <c r="A504" s="3" t="s">
        <v>571</v>
      </c>
      <c r="B504" s="2">
        <v>353</v>
      </c>
      <c r="C504" s="2">
        <v>28</v>
      </c>
      <c r="D504" s="8" t="s">
        <v>1121</v>
      </c>
      <c r="E504" s="6" t="str">
        <f t="shared" si="14"/>
        <v>2026-01-21</v>
      </c>
      <c r="F504" s="2">
        <v>1999</v>
      </c>
      <c r="G504" s="3" t="s">
        <v>78</v>
      </c>
      <c r="H504" s="3" t="s">
        <v>92</v>
      </c>
      <c r="I504" s="2">
        <v>79</v>
      </c>
      <c r="J504" s="6" t="str">
        <f>_xlfn.IFNA(VLOOKUP(C504,merchants!$A$1:$D$41,2,0),"Merchant not found")</f>
        <v>Merchant_028</v>
      </c>
      <c r="K504" s="6" t="str">
        <f>_xlfn.IFNA(VLOOKUP(C504,merchants!$A$1:$D$41,3,0),"Merchant not found")</f>
        <v>ecommerce</v>
      </c>
      <c r="L504" s="6" t="str">
        <f>_xlfn.IFNA(VLOOKUP(C504,merchants!$A$1:$D$41,4,0),"Merchant not found")</f>
        <v>South</v>
      </c>
      <c r="M504" s="9">
        <f t="shared" si="15"/>
        <v>39.980000000000004</v>
      </c>
      <c r="N504" s="6" t="str">
        <f>IF(AND(L504&lt;&gt;"East",SUMIFS(merchant_workbook_pivot_table!$D$2:$D$444,merchant_workbook_pivot_table!$C$2:$C$444,E504,merchant_workbook_pivot_table!$B$2:$B$444,J504)&gt;5000),"High-Value Merchant Day",IF(AND(L504&lt;&gt;"East",SUMIFS(merchant_workbook_pivot_table!$D$2:$D$444,merchant_workbook_pivot_table!$C$2:$C$444,E504,merchant_workbook_pivot_table!$B$2:$B$444,J504)&gt;1000),"Mid-Value Merchant Day",""))</f>
        <v xml:space="preserve">Mid-Value Merchant Day</v>
      </c>
    </row>
    <row r="505">
      <c r="A505" s="3" t="s">
        <v>572</v>
      </c>
      <c r="B505" s="2">
        <v>354</v>
      </c>
      <c r="C505" s="2">
        <v>13</v>
      </c>
      <c r="D505" s="8" t="s">
        <v>1122</v>
      </c>
      <c r="E505" s="6" t="str">
        <f t="shared" si="14"/>
        <v>2026-01-21</v>
      </c>
      <c r="F505" s="2">
        <v>4999</v>
      </c>
      <c r="G505" s="3" t="s">
        <v>78</v>
      </c>
      <c r="H505" s="3" t="s">
        <v>92</v>
      </c>
      <c r="I505" s="2">
        <v>80</v>
      </c>
      <c r="J505" s="6" t="str">
        <f>_xlfn.IFNA(VLOOKUP(C505,merchants!$A$1:$D$41,2,0),"Merchant not found")</f>
        <v>Merchant_013</v>
      </c>
      <c r="K505" s="6" t="str">
        <f>_xlfn.IFNA(VLOOKUP(C505,merchants!$A$1:$D$41,3,0),"Merchant not found")</f>
        <v>travel</v>
      </c>
      <c r="L505" s="6" t="str">
        <f>_xlfn.IFNA(VLOOKUP(C505,merchants!$A$1:$D$41,4,0),"Merchant not found")</f>
        <v>East</v>
      </c>
      <c r="M505" s="9">
        <f t="shared" si="15"/>
        <v>99.980000000000004</v>
      </c>
      <c r="N505" s="6" t="str">
        <f>IF(AND(L505&lt;&gt;"East",SUMIFS(merchant_workbook_pivot_table!$D$2:$D$444,merchant_workbook_pivot_table!$C$2:$C$444,E505,merchant_workbook_pivot_table!$B$2:$B$444,J505)&gt;5000),"High-Value Merchant Day",IF(AND(L505&lt;&gt;"East",SUMIFS(merchant_workbook_pivot_table!$D$2:$D$444,merchant_workbook_pivot_table!$C$2:$C$444,E505,merchant_workbook_pivot_table!$B$2:$B$444,J505)&gt;1000),"Mid-Value Merchant Day",""))</f>
        <v/>
      </c>
    </row>
    <row r="506">
      <c r="A506" s="3" t="s">
        <v>573</v>
      </c>
      <c r="B506" s="2">
        <v>355</v>
      </c>
      <c r="C506" s="2">
        <v>19</v>
      </c>
      <c r="D506" s="8" t="s">
        <v>1123</v>
      </c>
      <c r="E506" s="6" t="str">
        <f t="shared" si="14"/>
        <v>2026-01-16</v>
      </c>
      <c r="F506" s="2">
        <v>4999</v>
      </c>
      <c r="G506" s="3" t="s">
        <v>78</v>
      </c>
      <c r="H506" s="3" t="s">
        <v>92</v>
      </c>
      <c r="I506" s="2">
        <v>100</v>
      </c>
      <c r="J506" s="6" t="str">
        <f>_xlfn.IFNA(VLOOKUP(C506,merchants!$A$1:$D$41,2,0),"Merchant not found")</f>
        <v>Merchant_019</v>
      </c>
      <c r="K506" s="6" t="str">
        <f>_xlfn.IFNA(VLOOKUP(C506,merchants!$A$1:$D$41,3,0),"Merchant not found")</f>
        <v>grocery</v>
      </c>
      <c r="L506" s="6" t="str">
        <f>_xlfn.IFNA(VLOOKUP(C506,merchants!$A$1:$D$41,4,0),"Merchant not found")</f>
        <v>North</v>
      </c>
      <c r="M506" s="9">
        <f t="shared" si="15"/>
        <v>99.980000000000004</v>
      </c>
      <c r="N506" s="6" t="str">
        <f>IF(AND(L506&lt;&gt;"East",SUMIFS(merchant_workbook_pivot_table!$D$2:$D$444,merchant_workbook_pivot_table!$C$2:$C$444,E506,merchant_workbook_pivot_table!$B$2:$B$444,J506)&gt;5000),"High-Value Merchant Day",IF(AND(L506&lt;&gt;"East",SUMIFS(merchant_workbook_pivot_table!$D$2:$D$444,merchant_workbook_pivot_table!$C$2:$C$444,E506,merchant_workbook_pivot_table!$B$2:$B$444,J506)&gt;1000),"Mid-Value Merchant Day",""))</f>
        <v xml:space="preserve">Mid-Value Merchant Day</v>
      </c>
    </row>
    <row r="507">
      <c r="A507" s="3" t="s">
        <v>574</v>
      </c>
      <c r="B507" s="2">
        <v>356</v>
      </c>
      <c r="C507" s="2">
        <v>25</v>
      </c>
      <c r="D507" s="8" t="s">
        <v>1124</v>
      </c>
      <c r="E507" s="6" t="str">
        <f t="shared" si="14"/>
        <v>2026-01-29</v>
      </c>
      <c r="F507" s="2">
        <v>2999</v>
      </c>
      <c r="G507" s="3" t="s">
        <v>78</v>
      </c>
      <c r="H507" s="3" t="s">
        <v>92</v>
      </c>
      <c r="I507" s="2">
        <v>96</v>
      </c>
      <c r="J507" s="6" t="str">
        <f>_xlfn.IFNA(VLOOKUP(C507,merchants!$A$1:$D$41,2,0),"Merchant not found")</f>
        <v>Merchant_025</v>
      </c>
      <c r="K507" s="6" t="str">
        <f>_xlfn.IFNA(VLOOKUP(C507,merchants!$A$1:$D$41,3,0),"Merchant not found")</f>
        <v>travel</v>
      </c>
      <c r="L507" s="6" t="str">
        <f>_xlfn.IFNA(VLOOKUP(C507,merchants!$A$1:$D$41,4,0),"Merchant not found")</f>
        <v>South</v>
      </c>
      <c r="M507" s="9">
        <f t="shared" si="15"/>
        <v>59.980000000000004</v>
      </c>
      <c r="N507" s="6" t="str">
        <f>IF(AND(L507&lt;&gt;"East",SUMIFS(merchant_workbook_pivot_table!$D$2:$D$444,merchant_workbook_pivot_table!$C$2:$C$444,E507,merchant_workbook_pivot_table!$B$2:$B$444,J507)&gt;5000),"High-Value Merchant Day",IF(AND(L507&lt;&gt;"East",SUMIFS(merchant_workbook_pivot_table!$D$2:$D$444,merchant_workbook_pivot_table!$C$2:$C$444,E507,merchant_workbook_pivot_table!$B$2:$B$444,J507)&gt;1000),"Mid-Value Merchant Day",""))</f>
        <v xml:space="preserve">Mid-Value Merchant Day</v>
      </c>
    </row>
    <row r="508">
      <c r="A508" s="3" t="s">
        <v>575</v>
      </c>
      <c r="B508" s="2">
        <v>357</v>
      </c>
      <c r="C508" s="2">
        <v>37</v>
      </c>
      <c r="D508" s="8" t="s">
        <v>1125</v>
      </c>
      <c r="E508" s="6" t="str">
        <f t="shared" si="14"/>
        <v>2026-01-23</v>
      </c>
      <c r="F508" s="2">
        <v>1999</v>
      </c>
      <c r="G508" s="3" t="s">
        <v>78</v>
      </c>
      <c r="H508" s="3" t="s">
        <v>92</v>
      </c>
      <c r="I508" s="2">
        <v>88</v>
      </c>
      <c r="J508" s="6" t="str">
        <f>_xlfn.IFNA(VLOOKUP(C508,merchants!$A$1:$D$41,2,0),"Merchant not found")</f>
        <v>Merchant_037</v>
      </c>
      <c r="K508" s="6" t="str">
        <f>_xlfn.IFNA(VLOOKUP(C508,merchants!$A$1:$D$41,3,0),"Merchant not found")</f>
        <v>entertainment</v>
      </c>
      <c r="L508" s="6" t="str">
        <f>_xlfn.IFNA(VLOOKUP(C508,merchants!$A$1:$D$41,4,0),"Merchant not found")</f>
        <v>South</v>
      </c>
      <c r="M508" s="9">
        <f t="shared" si="15"/>
        <v>39.980000000000004</v>
      </c>
      <c r="N508" s="6" t="str">
        <f>IF(AND(L508&lt;&gt;"East",SUMIFS(merchant_workbook_pivot_table!$D$2:$D$444,merchant_workbook_pivot_table!$C$2:$C$444,E508,merchant_workbook_pivot_table!$B$2:$B$444,J508)&gt;5000),"High-Value Merchant Day",IF(AND(L508&lt;&gt;"East",SUMIFS(merchant_workbook_pivot_table!$D$2:$D$444,merchant_workbook_pivot_table!$C$2:$C$444,E508,merchant_workbook_pivot_table!$B$2:$B$444,J508)&gt;1000),"Mid-Value Merchant Day",""))</f>
        <v xml:space="preserve">Mid-Value Merchant Day</v>
      </c>
    </row>
    <row r="509">
      <c r="A509" s="3" t="s">
        <v>576</v>
      </c>
      <c r="B509" s="2">
        <v>358</v>
      </c>
      <c r="C509" s="2">
        <v>36</v>
      </c>
      <c r="D509" s="8" t="s">
        <v>1126</v>
      </c>
      <c r="E509" s="6" t="str">
        <f t="shared" si="14"/>
        <v>2026-01-28</v>
      </c>
      <c r="F509" s="2">
        <v>999</v>
      </c>
      <c r="G509" s="3" t="s">
        <v>78</v>
      </c>
      <c r="H509" s="3" t="s">
        <v>92</v>
      </c>
      <c r="I509" s="2">
        <v>100</v>
      </c>
      <c r="J509" s="6" t="str">
        <f>_xlfn.IFNA(VLOOKUP(C509,merchants!$A$1:$D$41,2,0),"Merchant not found")</f>
        <v>Merchant_036</v>
      </c>
      <c r="K509" s="6" t="str">
        <f>_xlfn.IFNA(VLOOKUP(C509,merchants!$A$1:$D$41,3,0),"Merchant not found")</f>
        <v>entertainment</v>
      </c>
      <c r="L509" s="6" t="str">
        <f>_xlfn.IFNA(VLOOKUP(C509,merchants!$A$1:$D$41,4,0),"Merchant not found")</f>
        <v>East</v>
      </c>
      <c r="M509" s="9">
        <f t="shared" si="15"/>
        <v>19.98</v>
      </c>
      <c r="N509" s="6" t="str">
        <f>IF(AND(L509&lt;&gt;"East",SUMIFS(merchant_workbook_pivot_table!$D$2:$D$444,merchant_workbook_pivot_table!$C$2:$C$444,E509,merchant_workbook_pivot_table!$B$2:$B$444,J509)&gt;5000),"High-Value Merchant Day",IF(AND(L509&lt;&gt;"East",SUMIFS(merchant_workbook_pivot_table!$D$2:$D$444,merchant_workbook_pivot_table!$C$2:$C$444,E509,merchant_workbook_pivot_table!$B$2:$B$444,J509)&gt;1000),"Mid-Value Merchant Day",""))</f>
        <v/>
      </c>
    </row>
    <row r="510">
      <c r="A510" s="3" t="s">
        <v>577</v>
      </c>
      <c r="B510" s="2">
        <v>359</v>
      </c>
      <c r="C510" s="2">
        <v>29</v>
      </c>
      <c r="D510" s="8" t="s">
        <v>1127</v>
      </c>
      <c r="E510" s="6" t="str">
        <f t="shared" si="14"/>
        <v>2026-01-25</v>
      </c>
      <c r="F510" s="2">
        <v>2999</v>
      </c>
      <c r="G510" s="3" t="s">
        <v>78</v>
      </c>
      <c r="H510" s="3" t="s">
        <v>92</v>
      </c>
      <c r="I510" s="2">
        <v>96</v>
      </c>
      <c r="J510" s="6" t="str">
        <f>_xlfn.IFNA(VLOOKUP(C510,merchants!$A$1:$D$41,2,0),"Merchant not found")</f>
        <v>Merchant_029</v>
      </c>
      <c r="K510" s="6" t="str">
        <f>_xlfn.IFNA(VLOOKUP(C510,merchants!$A$1:$D$41,3,0),"Merchant not found")</f>
        <v>ecommerce</v>
      </c>
      <c r="L510" s="6" t="str">
        <f>_xlfn.IFNA(VLOOKUP(C510,merchants!$A$1:$D$41,4,0),"Merchant not found")</f>
        <v>North</v>
      </c>
      <c r="M510" s="9">
        <f t="shared" si="15"/>
        <v>59.980000000000004</v>
      </c>
      <c r="N510" s="6" t="str">
        <f>IF(AND(L510&lt;&gt;"East",SUMIFS(merchant_workbook_pivot_table!$D$2:$D$444,merchant_workbook_pivot_table!$C$2:$C$444,E510,merchant_workbook_pivot_table!$B$2:$B$444,J510)&gt;5000),"High-Value Merchant Day",IF(AND(L510&lt;&gt;"East",SUMIFS(merchant_workbook_pivot_table!$D$2:$D$444,merchant_workbook_pivot_table!$C$2:$C$444,E510,merchant_workbook_pivot_table!$B$2:$B$444,J510)&gt;1000),"Mid-Value Merchant Day",""))</f>
        <v xml:space="preserve">Mid-Value Merchant Day</v>
      </c>
    </row>
    <row r="511">
      <c r="A511" s="3" t="s">
        <v>578</v>
      </c>
      <c r="B511" s="2">
        <v>360</v>
      </c>
      <c r="C511" s="2">
        <v>32</v>
      </c>
      <c r="D511" s="8" t="s">
        <v>1128</v>
      </c>
      <c r="E511" s="6" t="str">
        <f t="shared" si="14"/>
        <v>2026-01-13</v>
      </c>
      <c r="F511" s="2">
        <v>1999</v>
      </c>
      <c r="G511" s="3" t="s">
        <v>78</v>
      </c>
      <c r="H511" s="3" t="s">
        <v>92</v>
      </c>
      <c r="I511" s="2">
        <v>90</v>
      </c>
      <c r="J511" s="6" t="str">
        <f>_xlfn.IFNA(VLOOKUP(C511,merchants!$A$1:$D$41,2,0),"Merchant not found")</f>
        <v>Merchant_032</v>
      </c>
      <c r="K511" s="6" t="str">
        <f>_xlfn.IFNA(VLOOKUP(C511,merchants!$A$1:$D$41,3,0),"Merchant not found")</f>
        <v>food_delivery</v>
      </c>
      <c r="L511" s="6" t="str">
        <f>_xlfn.IFNA(VLOOKUP(C511,merchants!$A$1:$D$41,4,0),"Merchant not found")</f>
        <v>West</v>
      </c>
      <c r="M511" s="9">
        <f t="shared" si="15"/>
        <v>39.980000000000004</v>
      </c>
      <c r="N511" s="6" t="str">
        <f>IF(AND(L511&lt;&gt;"East",SUMIFS(merchant_workbook_pivot_table!$D$2:$D$444,merchant_workbook_pivot_table!$C$2:$C$444,E511,merchant_workbook_pivot_table!$B$2:$B$444,J511)&gt;5000),"High-Value Merchant Day",IF(AND(L511&lt;&gt;"East",SUMIFS(merchant_workbook_pivot_table!$D$2:$D$444,merchant_workbook_pivot_table!$C$2:$C$444,E511,merchant_workbook_pivot_table!$B$2:$B$444,J511)&gt;1000),"Mid-Value Merchant Day",""))</f>
        <v xml:space="preserve">Mid-Value Merchant Day</v>
      </c>
    </row>
    <row r="512">
      <c r="A512" s="3" t="s">
        <v>579</v>
      </c>
      <c r="B512" s="2">
        <v>361</v>
      </c>
      <c r="C512" s="2">
        <v>10</v>
      </c>
      <c r="D512" s="8" t="s">
        <v>1129</v>
      </c>
      <c r="E512" s="6" t="str">
        <f t="shared" si="14"/>
        <v>2026-01-20</v>
      </c>
      <c r="F512" s="2">
        <v>4999</v>
      </c>
      <c r="G512" s="3" t="s">
        <v>78</v>
      </c>
      <c r="H512" s="3" t="s">
        <v>92</v>
      </c>
      <c r="I512" s="2">
        <v>95</v>
      </c>
      <c r="J512" s="6" t="str">
        <f>_xlfn.IFNA(VLOOKUP(C512,merchants!$A$1:$D$41,2,0),"Merchant not found")</f>
        <v>Merchant_010</v>
      </c>
      <c r="K512" s="6" t="str">
        <f>_xlfn.IFNA(VLOOKUP(C512,merchants!$A$1:$D$41,3,0),"Merchant not found")</f>
        <v>grocery</v>
      </c>
      <c r="L512" s="6" t="str">
        <f>_xlfn.IFNA(VLOOKUP(C512,merchants!$A$1:$D$41,4,0),"Merchant not found")</f>
        <v>West</v>
      </c>
      <c r="M512" s="9">
        <f t="shared" si="15"/>
        <v>99.980000000000004</v>
      </c>
      <c r="N512" s="6" t="str">
        <f>IF(AND(L512&lt;&gt;"East",SUMIFS(merchant_workbook_pivot_table!$D$2:$D$444,merchant_workbook_pivot_table!$C$2:$C$444,E512,merchant_workbook_pivot_table!$B$2:$B$444,J512)&gt;5000),"High-Value Merchant Day",IF(AND(L512&lt;&gt;"East",SUMIFS(merchant_workbook_pivot_table!$D$2:$D$444,merchant_workbook_pivot_table!$C$2:$C$444,E512,merchant_workbook_pivot_table!$B$2:$B$444,J512)&gt;1000),"Mid-Value Merchant Day",""))</f>
        <v xml:space="preserve">Mid-Value Merchant Day</v>
      </c>
    </row>
    <row r="513">
      <c r="A513" s="3" t="s">
        <v>580</v>
      </c>
      <c r="B513" s="2">
        <v>362</v>
      </c>
      <c r="C513" s="2">
        <v>39</v>
      </c>
      <c r="D513" s="8" t="s">
        <v>1130</v>
      </c>
      <c r="E513" s="6" t="str">
        <f t="shared" si="14"/>
        <v>2026-01-23</v>
      </c>
      <c r="F513" s="2">
        <v>4999</v>
      </c>
      <c r="G513" s="3" t="s">
        <v>78</v>
      </c>
      <c r="H513" s="3" t="s">
        <v>92</v>
      </c>
      <c r="I513" s="2">
        <v>88</v>
      </c>
      <c r="J513" s="6" t="str">
        <f>_xlfn.IFNA(VLOOKUP(C513,merchants!$A$1:$D$41,2,0),"Merchant not found")</f>
        <v>Merchant_039</v>
      </c>
      <c r="K513" s="6" t="str">
        <f>_xlfn.IFNA(VLOOKUP(C513,merchants!$A$1:$D$41,3,0),"Merchant not found")</f>
        <v>entertainment</v>
      </c>
      <c r="L513" s="6" t="str">
        <f>_xlfn.IFNA(VLOOKUP(C513,merchants!$A$1:$D$41,4,0),"Merchant not found")</f>
        <v>North</v>
      </c>
      <c r="M513" s="9">
        <f t="shared" si="15"/>
        <v>99.980000000000004</v>
      </c>
      <c r="N513" s="6" t="str">
        <f>IF(AND(L513&lt;&gt;"East",SUMIFS(merchant_workbook_pivot_table!$D$2:$D$444,merchant_workbook_pivot_table!$C$2:$C$444,E513,merchant_workbook_pivot_table!$B$2:$B$444,J513)&gt;5000),"High-Value Merchant Day",IF(AND(L513&lt;&gt;"East",SUMIFS(merchant_workbook_pivot_table!$D$2:$D$444,merchant_workbook_pivot_table!$C$2:$C$444,E513,merchant_workbook_pivot_table!$B$2:$B$444,J513)&gt;1000),"Mid-Value Merchant Day",""))</f>
        <v xml:space="preserve">Mid-Value Merchant Day</v>
      </c>
    </row>
    <row r="514">
      <c r="A514" s="3" t="s">
        <v>581</v>
      </c>
      <c r="B514" s="2">
        <v>363</v>
      </c>
      <c r="C514" s="2">
        <v>27</v>
      </c>
      <c r="D514" s="8" t="s">
        <v>1131</v>
      </c>
      <c r="E514" s="6" t="str">
        <f t="shared" ref="E514:E548" si="16">LEFT(D514,10)</f>
        <v>2026-01-23</v>
      </c>
      <c r="F514" s="2">
        <v>999</v>
      </c>
      <c r="G514" s="3" t="s">
        <v>78</v>
      </c>
      <c r="H514" s="3" t="s">
        <v>92</v>
      </c>
      <c r="I514" s="2">
        <v>95</v>
      </c>
      <c r="J514" s="6" t="str">
        <f>_xlfn.IFNA(VLOOKUP(C514,merchants!$A$1:$D$41,2,0),"Merchant not found")</f>
        <v>Merchant_027</v>
      </c>
      <c r="K514" s="6" t="str">
        <f>_xlfn.IFNA(VLOOKUP(C514,merchants!$A$1:$D$41,3,0),"Merchant not found")</f>
        <v>ecommerce</v>
      </c>
      <c r="L514" s="6" t="str">
        <f>_xlfn.IFNA(VLOOKUP(C514,merchants!$A$1:$D$41,4,0),"Merchant not found")</f>
        <v>North</v>
      </c>
      <c r="M514" s="9">
        <f t="shared" ref="M514:M548" si="17">F514*(HLOOKUP(G514,$Q$1:$T$2,2,0))</f>
        <v>19.98</v>
      </c>
      <c r="N514" s="6" t="str">
        <f>IF(AND(L514&lt;&gt;"East",SUMIFS(merchant_workbook_pivot_table!$D$2:$D$444,merchant_workbook_pivot_table!$C$2:$C$444,E514,merchant_workbook_pivot_table!$B$2:$B$444,J514)&gt;5000),"High-Value Merchant Day",IF(AND(L514&lt;&gt;"East",SUMIFS(merchant_workbook_pivot_table!$D$2:$D$444,merchant_workbook_pivot_table!$C$2:$C$444,E514,merchant_workbook_pivot_table!$B$2:$B$444,J514)&gt;1000),"Mid-Value Merchant Day",""))</f>
        <v xml:space="preserve">Mid-Value Merchant Day</v>
      </c>
    </row>
    <row r="515">
      <c r="A515" s="3" t="s">
        <v>582</v>
      </c>
      <c r="B515" s="2">
        <v>364</v>
      </c>
      <c r="C515" s="2">
        <v>39</v>
      </c>
      <c r="D515" s="8" t="s">
        <v>1132</v>
      </c>
      <c r="E515" s="6" t="str">
        <f t="shared" si="16"/>
        <v>2026-01-22</v>
      </c>
      <c r="F515" s="2">
        <v>999</v>
      </c>
      <c r="G515" s="3" t="s">
        <v>78</v>
      </c>
      <c r="H515" s="3" t="s">
        <v>92</v>
      </c>
      <c r="I515" s="2">
        <v>73</v>
      </c>
      <c r="J515" s="6" t="str">
        <f>_xlfn.IFNA(VLOOKUP(C515,merchants!$A$1:$D$41,2,0),"Merchant not found")</f>
        <v>Merchant_039</v>
      </c>
      <c r="K515" s="6" t="str">
        <f>_xlfn.IFNA(VLOOKUP(C515,merchants!$A$1:$D$41,3,0),"Merchant not found")</f>
        <v>entertainment</v>
      </c>
      <c r="L515" s="6" t="str">
        <f>_xlfn.IFNA(VLOOKUP(C515,merchants!$A$1:$D$41,4,0),"Merchant not found")</f>
        <v>North</v>
      </c>
      <c r="M515" s="9">
        <f t="shared" si="17"/>
        <v>19.98</v>
      </c>
      <c r="N515" s="6" t="str">
        <f>IF(AND(L515&lt;&gt;"East",SUMIFS(merchant_workbook_pivot_table!$D$2:$D$444,merchant_workbook_pivot_table!$C$2:$C$444,E515,merchant_workbook_pivot_table!$B$2:$B$444,J515)&gt;5000),"High-Value Merchant Day",IF(AND(L515&lt;&gt;"East",SUMIFS(merchant_workbook_pivot_table!$D$2:$D$444,merchant_workbook_pivot_table!$C$2:$C$444,E515,merchant_workbook_pivot_table!$B$2:$B$444,J515)&gt;1000),"Mid-Value Merchant Day",""))</f>
        <v xml:space="preserve">High-Value Merchant Day</v>
      </c>
    </row>
    <row r="516">
      <c r="A516" s="3" t="s">
        <v>583</v>
      </c>
      <c r="B516" s="2">
        <v>365</v>
      </c>
      <c r="C516" s="2">
        <v>23</v>
      </c>
      <c r="D516" s="8" t="s">
        <v>1133</v>
      </c>
      <c r="E516" s="6" t="str">
        <f t="shared" si="16"/>
        <v>2026-01-18</v>
      </c>
      <c r="F516" s="2">
        <v>1999</v>
      </c>
      <c r="G516" s="3" t="s">
        <v>78</v>
      </c>
      <c r="H516" s="3" t="s">
        <v>92</v>
      </c>
      <c r="I516" s="2">
        <v>90</v>
      </c>
      <c r="J516" s="6" t="str">
        <f>_xlfn.IFNA(VLOOKUP(C516,merchants!$A$1:$D$41,2,0),"Merchant not found")</f>
        <v>Merchant_023</v>
      </c>
      <c r="K516" s="6" t="str">
        <f>_xlfn.IFNA(VLOOKUP(C516,merchants!$A$1:$D$41,3,0),"Merchant not found")</f>
        <v>travel</v>
      </c>
      <c r="L516" s="6" t="str">
        <f>_xlfn.IFNA(VLOOKUP(C516,merchants!$A$1:$D$41,4,0),"Merchant not found")</f>
        <v>North</v>
      </c>
      <c r="M516" s="9">
        <f t="shared" si="17"/>
        <v>39.980000000000004</v>
      </c>
      <c r="N516" s="6" t="str">
        <f>IF(AND(L516&lt;&gt;"East",SUMIFS(merchant_workbook_pivot_table!$D$2:$D$444,merchant_workbook_pivot_table!$C$2:$C$444,E516,merchant_workbook_pivot_table!$B$2:$B$444,J516)&gt;5000),"High-Value Merchant Day",IF(AND(L516&lt;&gt;"East",SUMIFS(merchant_workbook_pivot_table!$D$2:$D$444,merchant_workbook_pivot_table!$C$2:$C$444,E516,merchant_workbook_pivot_table!$B$2:$B$444,J516)&gt;1000),"Mid-Value Merchant Day",""))</f>
        <v xml:space="preserve">Mid-Value Merchant Day</v>
      </c>
    </row>
    <row r="517">
      <c r="A517" s="3" t="s">
        <v>584</v>
      </c>
      <c r="B517" s="2">
        <v>314</v>
      </c>
      <c r="C517" s="2">
        <v>26</v>
      </c>
      <c r="D517" s="8" t="s">
        <v>1134</v>
      </c>
      <c r="E517" s="6" t="str">
        <f t="shared" si="16"/>
        <v>2026-01-02</v>
      </c>
      <c r="F517" s="2">
        <v>399</v>
      </c>
      <c r="G517" s="3" t="s">
        <v>78</v>
      </c>
      <c r="H517" s="3" t="s">
        <v>79</v>
      </c>
      <c r="I517" s="2">
        <v>87</v>
      </c>
      <c r="J517" s="6" t="str">
        <f>_xlfn.IFNA(VLOOKUP(C517,merchants!$A$1:$D$41,2,0),"Merchant not found")</f>
        <v>Merchant_026</v>
      </c>
      <c r="K517" s="6" t="str">
        <f>_xlfn.IFNA(VLOOKUP(C517,merchants!$A$1:$D$41,3,0),"Merchant not found")</f>
        <v>food_delivery</v>
      </c>
      <c r="L517" s="6" t="str">
        <f>_xlfn.IFNA(VLOOKUP(C517,merchants!$A$1:$D$41,4,0),"Merchant not found")</f>
        <v>East</v>
      </c>
      <c r="M517" s="9">
        <f t="shared" si="17"/>
        <v>7.9800000000000004</v>
      </c>
      <c r="N517" s="6" t="str">
        <f>IF(AND(L517&lt;&gt;"East",SUMIFS(merchant_workbook_pivot_table!$D$2:$D$444,merchant_workbook_pivot_table!$C$2:$C$444,E517,merchant_workbook_pivot_table!$B$2:$B$444,J517)&gt;5000),"High-Value Merchant Day",IF(AND(L517&lt;&gt;"East",SUMIFS(merchant_workbook_pivot_table!$D$2:$D$444,merchant_workbook_pivot_table!$C$2:$C$444,E517,merchant_workbook_pivot_table!$B$2:$B$444,J517)&gt;1000),"Mid-Value Merchant Day",""))</f>
        <v/>
      </c>
    </row>
    <row r="518">
      <c r="A518" s="3" t="s">
        <v>585</v>
      </c>
      <c r="B518" s="2">
        <v>314</v>
      </c>
      <c r="C518" s="2">
        <v>7</v>
      </c>
      <c r="D518" s="8" t="s">
        <v>1135</v>
      </c>
      <c r="E518" s="6" t="str">
        <f t="shared" si="16"/>
        <v>2026-01-02</v>
      </c>
      <c r="F518" s="2">
        <v>299</v>
      </c>
      <c r="G518" s="3" t="s">
        <v>78</v>
      </c>
      <c r="H518" s="3" t="s">
        <v>79</v>
      </c>
      <c r="I518" s="2">
        <v>66</v>
      </c>
      <c r="J518" s="6" t="str">
        <f>_xlfn.IFNA(VLOOKUP(C518,merchants!$A$1:$D$41,2,0),"Merchant not found")</f>
        <v>Merchant_007</v>
      </c>
      <c r="K518" s="6" t="str">
        <f>_xlfn.IFNA(VLOOKUP(C518,merchants!$A$1:$D$41,3,0),"Merchant not found")</f>
        <v>food_delivery</v>
      </c>
      <c r="L518" s="6" t="str">
        <f>_xlfn.IFNA(VLOOKUP(C518,merchants!$A$1:$D$41,4,0),"Merchant not found")</f>
        <v>East</v>
      </c>
      <c r="M518" s="9">
        <f t="shared" si="17"/>
        <v>5.9800000000000004</v>
      </c>
      <c r="N518" s="6" t="str">
        <f>IF(AND(L518&lt;&gt;"East",SUMIFS(merchant_workbook_pivot_table!$D$2:$D$444,merchant_workbook_pivot_table!$C$2:$C$444,E518,merchant_workbook_pivot_table!$B$2:$B$444,J518)&gt;5000),"High-Value Merchant Day",IF(AND(L518&lt;&gt;"East",SUMIFS(merchant_workbook_pivot_table!$D$2:$D$444,merchant_workbook_pivot_table!$C$2:$C$444,E518,merchant_workbook_pivot_table!$B$2:$B$444,J518)&gt;1000),"Mid-Value Merchant Day",""))</f>
        <v/>
      </c>
    </row>
    <row r="519">
      <c r="A519" s="3" t="s">
        <v>586</v>
      </c>
      <c r="B519" s="2">
        <v>314</v>
      </c>
      <c r="C519" s="2">
        <v>17</v>
      </c>
      <c r="D519" s="8" t="s">
        <v>1136</v>
      </c>
      <c r="E519" s="6" t="str">
        <f t="shared" si="16"/>
        <v>2026-01-02</v>
      </c>
      <c r="F519" s="2">
        <v>299</v>
      </c>
      <c r="G519" s="3" t="s">
        <v>78</v>
      </c>
      <c r="H519" s="3" t="s">
        <v>79</v>
      </c>
      <c r="I519" s="2">
        <v>92</v>
      </c>
      <c r="J519" s="6" t="str">
        <f>_xlfn.IFNA(VLOOKUP(C519,merchants!$A$1:$D$41,2,0),"Merchant not found")</f>
        <v>Merchant_017</v>
      </c>
      <c r="K519" s="6" t="str">
        <f>_xlfn.IFNA(VLOOKUP(C519,merchants!$A$1:$D$41,3,0),"Merchant not found")</f>
        <v>grocery</v>
      </c>
      <c r="L519" s="6" t="str">
        <f>_xlfn.IFNA(VLOOKUP(C519,merchants!$A$1:$D$41,4,0),"Merchant not found")</f>
        <v>North</v>
      </c>
      <c r="M519" s="9">
        <f t="shared" si="17"/>
        <v>5.9800000000000004</v>
      </c>
      <c r="N519" s="6" t="str">
        <f>IF(AND(L519&lt;&gt;"East",SUMIFS(merchant_workbook_pivot_table!$D$2:$D$444,merchant_workbook_pivot_table!$C$2:$C$444,E519,merchant_workbook_pivot_table!$B$2:$B$444,J519)&gt;5000),"High-Value Merchant Day",IF(AND(L519&lt;&gt;"East",SUMIFS(merchant_workbook_pivot_table!$D$2:$D$444,merchant_workbook_pivot_table!$C$2:$C$444,E519,merchant_workbook_pivot_table!$B$2:$B$444,J519)&gt;1000),"Mid-Value Merchant Day",""))</f>
        <v/>
      </c>
    </row>
    <row r="520">
      <c r="A520" s="3" t="s">
        <v>587</v>
      </c>
      <c r="B520" s="2">
        <v>314</v>
      </c>
      <c r="C520" s="2">
        <v>34</v>
      </c>
      <c r="D520" s="8" t="s">
        <v>1137</v>
      </c>
      <c r="E520" s="6" t="str">
        <f t="shared" si="16"/>
        <v>2026-01-02</v>
      </c>
      <c r="F520" s="2">
        <v>499</v>
      </c>
      <c r="G520" s="3" t="s">
        <v>78</v>
      </c>
      <c r="H520" s="3" t="s">
        <v>64</v>
      </c>
      <c r="I520" s="2">
        <v>74</v>
      </c>
      <c r="J520" s="6" t="str">
        <f>_xlfn.IFNA(VLOOKUP(C520,merchants!$A$1:$D$41,2,0),"Merchant not found")</f>
        <v>Merchant_034</v>
      </c>
      <c r="K520" s="6" t="str">
        <f>_xlfn.IFNA(VLOOKUP(C520,merchants!$A$1:$D$41,3,0),"Merchant not found")</f>
        <v>travel</v>
      </c>
      <c r="L520" s="6" t="str">
        <f>_xlfn.IFNA(VLOOKUP(C520,merchants!$A$1:$D$41,4,0),"Merchant not found")</f>
        <v>South</v>
      </c>
      <c r="M520" s="9">
        <f t="shared" si="17"/>
        <v>9.9800000000000004</v>
      </c>
      <c r="N520" s="6" t="str">
        <f>IF(AND(L520&lt;&gt;"East",SUMIFS(merchant_workbook_pivot_table!$D$2:$D$444,merchant_workbook_pivot_table!$C$2:$C$444,E520,merchant_workbook_pivot_table!$B$2:$B$444,J520)&gt;5000),"High-Value Merchant Day",IF(AND(L520&lt;&gt;"East",SUMIFS(merchant_workbook_pivot_table!$D$2:$D$444,merchant_workbook_pivot_table!$C$2:$C$444,E520,merchant_workbook_pivot_table!$B$2:$B$444,J520)&gt;1000),"Mid-Value Merchant Day",""))</f>
        <v/>
      </c>
    </row>
    <row r="521">
      <c r="A521" s="3" t="s">
        <v>588</v>
      </c>
      <c r="B521" s="2">
        <v>229</v>
      </c>
      <c r="C521" s="2">
        <v>30</v>
      </c>
      <c r="D521" s="8" t="s">
        <v>1138</v>
      </c>
      <c r="E521" s="6" t="str">
        <f t="shared" si="16"/>
        <v>2026-01-12</v>
      </c>
      <c r="F521" s="2">
        <v>499</v>
      </c>
      <c r="G521" s="3" t="s">
        <v>78</v>
      </c>
      <c r="H521" s="3" t="s">
        <v>79</v>
      </c>
      <c r="I521" s="2">
        <v>92</v>
      </c>
      <c r="J521" s="6" t="str">
        <f>_xlfn.IFNA(VLOOKUP(C521,merchants!$A$1:$D$41,2,0),"Merchant not found")</f>
        <v>Merchant_030</v>
      </c>
      <c r="K521" s="6" t="str">
        <f>_xlfn.IFNA(VLOOKUP(C521,merchants!$A$1:$D$41,3,0),"Merchant not found")</f>
        <v>travel</v>
      </c>
      <c r="L521" s="6" t="str">
        <f>_xlfn.IFNA(VLOOKUP(C521,merchants!$A$1:$D$41,4,0),"Merchant not found")</f>
        <v>West</v>
      </c>
      <c r="M521" s="9">
        <f t="shared" si="17"/>
        <v>9.9800000000000004</v>
      </c>
      <c r="N521" s="6" t="str">
        <f>IF(AND(L521&lt;&gt;"East",SUMIFS(merchant_workbook_pivot_table!$D$2:$D$444,merchant_workbook_pivot_table!$C$2:$C$444,E521,merchant_workbook_pivot_table!$B$2:$B$444,J521)&gt;5000),"High-Value Merchant Day",IF(AND(L521&lt;&gt;"East",SUMIFS(merchant_workbook_pivot_table!$D$2:$D$444,merchant_workbook_pivot_table!$C$2:$C$444,E521,merchant_workbook_pivot_table!$B$2:$B$444,J521)&gt;1000),"Mid-Value Merchant Day",""))</f>
        <v/>
      </c>
    </row>
    <row r="522">
      <c r="A522" s="3" t="s">
        <v>589</v>
      </c>
      <c r="B522" s="2">
        <v>229</v>
      </c>
      <c r="C522" s="2">
        <v>10</v>
      </c>
      <c r="D522" s="8" t="s">
        <v>1139</v>
      </c>
      <c r="E522" s="6" t="str">
        <f t="shared" si="16"/>
        <v>2026-01-12</v>
      </c>
      <c r="F522" s="2">
        <v>399</v>
      </c>
      <c r="G522" s="3" t="s">
        <v>78</v>
      </c>
      <c r="H522" s="3" t="s">
        <v>79</v>
      </c>
      <c r="I522" s="2">
        <v>61</v>
      </c>
      <c r="J522" s="6" t="str">
        <f>_xlfn.IFNA(VLOOKUP(C522,merchants!$A$1:$D$41,2,0),"Merchant not found")</f>
        <v>Merchant_010</v>
      </c>
      <c r="K522" s="6" t="str">
        <f>_xlfn.IFNA(VLOOKUP(C522,merchants!$A$1:$D$41,3,0),"Merchant not found")</f>
        <v>grocery</v>
      </c>
      <c r="L522" s="6" t="str">
        <f>_xlfn.IFNA(VLOOKUP(C522,merchants!$A$1:$D$41,4,0),"Merchant not found")</f>
        <v>West</v>
      </c>
      <c r="M522" s="9">
        <f t="shared" si="17"/>
        <v>7.9800000000000004</v>
      </c>
      <c r="N522" s="6" t="str">
        <f>IF(AND(L522&lt;&gt;"East",SUMIFS(merchant_workbook_pivot_table!$D$2:$D$444,merchant_workbook_pivot_table!$C$2:$C$444,E522,merchant_workbook_pivot_table!$B$2:$B$444,J522)&gt;5000),"High-Value Merchant Day",IF(AND(L522&lt;&gt;"East",SUMIFS(merchant_workbook_pivot_table!$D$2:$D$444,merchant_workbook_pivot_table!$C$2:$C$444,E522,merchant_workbook_pivot_table!$B$2:$B$444,J522)&gt;1000),"Mid-Value Merchant Day",""))</f>
        <v/>
      </c>
    </row>
    <row r="523">
      <c r="A523" s="3" t="s">
        <v>590</v>
      </c>
      <c r="B523" s="2">
        <v>229</v>
      </c>
      <c r="C523" s="2">
        <v>31</v>
      </c>
      <c r="D523" s="8" t="s">
        <v>1140</v>
      </c>
      <c r="E523" s="6" t="str">
        <f t="shared" si="16"/>
        <v>2026-01-12</v>
      </c>
      <c r="F523" s="2">
        <v>299</v>
      </c>
      <c r="G523" s="3" t="s">
        <v>78</v>
      </c>
      <c r="H523" s="3" t="s">
        <v>79</v>
      </c>
      <c r="I523" s="2">
        <v>78</v>
      </c>
      <c r="J523" s="6" t="str">
        <f>_xlfn.IFNA(VLOOKUP(C523,merchants!$A$1:$D$41,2,0),"Merchant not found")</f>
        <v>Merchant_031</v>
      </c>
      <c r="K523" s="6" t="str">
        <f>_xlfn.IFNA(VLOOKUP(C523,merchants!$A$1:$D$41,3,0),"Merchant not found")</f>
        <v>bill_payment</v>
      </c>
      <c r="L523" s="6" t="str">
        <f>_xlfn.IFNA(VLOOKUP(C523,merchants!$A$1:$D$41,4,0),"Merchant not found")</f>
        <v>East</v>
      </c>
      <c r="M523" s="9">
        <f t="shared" si="17"/>
        <v>5.9800000000000004</v>
      </c>
      <c r="N523" s="6" t="str">
        <f>IF(AND(L523&lt;&gt;"East",SUMIFS(merchant_workbook_pivot_table!$D$2:$D$444,merchant_workbook_pivot_table!$C$2:$C$444,E523,merchant_workbook_pivot_table!$B$2:$B$444,J523)&gt;5000),"High-Value Merchant Day",IF(AND(L523&lt;&gt;"East",SUMIFS(merchant_workbook_pivot_table!$D$2:$D$444,merchant_workbook_pivot_table!$C$2:$C$444,E523,merchant_workbook_pivot_table!$B$2:$B$444,J523)&gt;1000),"Mid-Value Merchant Day",""))</f>
        <v/>
      </c>
    </row>
    <row r="524">
      <c r="A524" s="3" t="s">
        <v>591</v>
      </c>
      <c r="B524" s="2">
        <v>229</v>
      </c>
      <c r="C524" s="2">
        <v>27</v>
      </c>
      <c r="D524" s="8" t="s">
        <v>1141</v>
      </c>
      <c r="E524" s="6" t="str">
        <f t="shared" si="16"/>
        <v>2026-01-12</v>
      </c>
      <c r="F524" s="2">
        <v>299</v>
      </c>
      <c r="G524" s="3" t="s">
        <v>78</v>
      </c>
      <c r="H524" s="3" t="s">
        <v>64</v>
      </c>
      <c r="I524" s="2">
        <v>67</v>
      </c>
      <c r="J524" s="6" t="str">
        <f>_xlfn.IFNA(VLOOKUP(C524,merchants!$A$1:$D$41,2,0),"Merchant not found")</f>
        <v>Merchant_027</v>
      </c>
      <c r="K524" s="6" t="str">
        <f>_xlfn.IFNA(VLOOKUP(C524,merchants!$A$1:$D$41,3,0),"Merchant not found")</f>
        <v>ecommerce</v>
      </c>
      <c r="L524" s="6" t="str">
        <f>_xlfn.IFNA(VLOOKUP(C524,merchants!$A$1:$D$41,4,0),"Merchant not found")</f>
        <v>North</v>
      </c>
      <c r="M524" s="9">
        <f t="shared" si="17"/>
        <v>5.9800000000000004</v>
      </c>
      <c r="N524" s="6" t="str">
        <f>IF(AND(L524&lt;&gt;"East",SUMIFS(merchant_workbook_pivot_table!$D$2:$D$444,merchant_workbook_pivot_table!$C$2:$C$444,E524,merchant_workbook_pivot_table!$B$2:$B$444,J524)&gt;5000),"High-Value Merchant Day",IF(AND(L524&lt;&gt;"East",SUMIFS(merchant_workbook_pivot_table!$D$2:$D$444,merchant_workbook_pivot_table!$C$2:$C$444,E524,merchant_workbook_pivot_table!$B$2:$B$444,J524)&gt;1000),"Mid-Value Merchant Day",""))</f>
        <v/>
      </c>
    </row>
    <row r="525">
      <c r="A525" s="3" t="s">
        <v>592</v>
      </c>
      <c r="B525" s="2">
        <v>73</v>
      </c>
      <c r="C525" s="2">
        <v>22</v>
      </c>
      <c r="D525" s="8" t="s">
        <v>1142</v>
      </c>
      <c r="E525" s="6" t="str">
        <f t="shared" si="16"/>
        <v>2026-01-12</v>
      </c>
      <c r="F525" s="2">
        <v>399</v>
      </c>
      <c r="G525" s="3" t="s">
        <v>78</v>
      </c>
      <c r="H525" s="3" t="s">
        <v>79</v>
      </c>
      <c r="I525" s="2">
        <v>73</v>
      </c>
      <c r="J525" s="6" t="str">
        <f>_xlfn.IFNA(VLOOKUP(C525,merchants!$A$1:$D$41,2,0),"Merchant not found")</f>
        <v>Merchant_022</v>
      </c>
      <c r="K525" s="6" t="str">
        <f>_xlfn.IFNA(VLOOKUP(C525,merchants!$A$1:$D$41,3,0),"Merchant not found")</f>
        <v>travel</v>
      </c>
      <c r="L525" s="6" t="str">
        <f>_xlfn.IFNA(VLOOKUP(C525,merchants!$A$1:$D$41,4,0),"Merchant not found")</f>
        <v>South</v>
      </c>
      <c r="M525" s="9">
        <f t="shared" si="17"/>
        <v>7.9800000000000004</v>
      </c>
      <c r="N525" s="6" t="str">
        <f>IF(AND(L525&lt;&gt;"East",SUMIFS(merchant_workbook_pivot_table!$D$2:$D$444,merchant_workbook_pivot_table!$C$2:$C$444,E525,merchant_workbook_pivot_table!$B$2:$B$444,J525)&gt;5000),"High-Value Merchant Day",IF(AND(L525&lt;&gt;"East",SUMIFS(merchant_workbook_pivot_table!$D$2:$D$444,merchant_workbook_pivot_table!$C$2:$C$444,E525,merchant_workbook_pivot_table!$B$2:$B$444,J525)&gt;1000),"Mid-Value Merchant Day",""))</f>
        <v xml:space="preserve">Mid-Value Merchant Day</v>
      </c>
    </row>
    <row r="526">
      <c r="A526" s="3" t="s">
        <v>593</v>
      </c>
      <c r="B526" s="2">
        <v>73</v>
      </c>
      <c r="C526" s="2">
        <v>34</v>
      </c>
      <c r="D526" s="8" t="s">
        <v>1143</v>
      </c>
      <c r="E526" s="6" t="str">
        <f t="shared" si="16"/>
        <v>2026-01-12</v>
      </c>
      <c r="F526" s="2">
        <v>399</v>
      </c>
      <c r="G526" s="3" t="s">
        <v>78</v>
      </c>
      <c r="H526" s="3" t="s">
        <v>79</v>
      </c>
      <c r="I526" s="2">
        <v>82</v>
      </c>
      <c r="J526" s="6" t="str">
        <f>_xlfn.IFNA(VLOOKUP(C526,merchants!$A$1:$D$41,2,0),"Merchant not found")</f>
        <v>Merchant_034</v>
      </c>
      <c r="K526" s="6" t="str">
        <f>_xlfn.IFNA(VLOOKUP(C526,merchants!$A$1:$D$41,3,0),"Merchant not found")</f>
        <v>travel</v>
      </c>
      <c r="L526" s="6" t="str">
        <f>_xlfn.IFNA(VLOOKUP(C526,merchants!$A$1:$D$41,4,0),"Merchant not found")</f>
        <v>South</v>
      </c>
      <c r="M526" s="9">
        <f t="shared" si="17"/>
        <v>7.9800000000000004</v>
      </c>
      <c r="N526" s="6" t="str">
        <f>IF(AND(L526&lt;&gt;"East",SUMIFS(merchant_workbook_pivot_table!$D$2:$D$444,merchant_workbook_pivot_table!$C$2:$C$444,E526,merchant_workbook_pivot_table!$B$2:$B$444,J526)&gt;5000),"High-Value Merchant Day",IF(AND(L526&lt;&gt;"East",SUMIFS(merchant_workbook_pivot_table!$D$2:$D$444,merchant_workbook_pivot_table!$C$2:$C$444,E526,merchant_workbook_pivot_table!$B$2:$B$444,J526)&gt;1000),"Mid-Value Merchant Day",""))</f>
        <v/>
      </c>
    </row>
    <row r="527">
      <c r="A527" s="3" t="s">
        <v>594</v>
      </c>
      <c r="B527" s="2">
        <v>73</v>
      </c>
      <c r="C527" s="2">
        <v>31</v>
      </c>
      <c r="D527" s="8" t="s">
        <v>1144</v>
      </c>
      <c r="E527" s="6" t="str">
        <f t="shared" si="16"/>
        <v>2026-01-12</v>
      </c>
      <c r="F527" s="2">
        <v>299</v>
      </c>
      <c r="G527" s="3" t="s">
        <v>78</v>
      </c>
      <c r="H527" s="3" t="s">
        <v>79</v>
      </c>
      <c r="I527" s="2">
        <v>88</v>
      </c>
      <c r="J527" s="6" t="str">
        <f>_xlfn.IFNA(VLOOKUP(C527,merchants!$A$1:$D$41,2,0),"Merchant not found")</f>
        <v>Merchant_031</v>
      </c>
      <c r="K527" s="6" t="str">
        <f>_xlfn.IFNA(VLOOKUP(C527,merchants!$A$1:$D$41,3,0),"Merchant not found")</f>
        <v>bill_payment</v>
      </c>
      <c r="L527" s="6" t="str">
        <f>_xlfn.IFNA(VLOOKUP(C527,merchants!$A$1:$D$41,4,0),"Merchant not found")</f>
        <v>East</v>
      </c>
      <c r="M527" s="9">
        <f t="shared" si="17"/>
        <v>5.9800000000000004</v>
      </c>
      <c r="N527" s="6" t="str">
        <f>IF(AND(L527&lt;&gt;"East",SUMIFS(merchant_workbook_pivot_table!$D$2:$D$444,merchant_workbook_pivot_table!$C$2:$C$444,E527,merchant_workbook_pivot_table!$B$2:$B$444,J527)&gt;5000),"High-Value Merchant Day",IF(AND(L527&lt;&gt;"East",SUMIFS(merchant_workbook_pivot_table!$D$2:$D$444,merchant_workbook_pivot_table!$C$2:$C$444,E527,merchant_workbook_pivot_table!$B$2:$B$444,J527)&gt;1000),"Mid-Value Merchant Day",""))</f>
        <v/>
      </c>
    </row>
    <row r="528">
      <c r="A528" s="3" t="s">
        <v>595</v>
      </c>
      <c r="B528" s="2">
        <v>73</v>
      </c>
      <c r="C528" s="2">
        <v>29</v>
      </c>
      <c r="D528" s="8" t="s">
        <v>1145</v>
      </c>
      <c r="E528" s="6" t="str">
        <f t="shared" si="16"/>
        <v>2026-01-12</v>
      </c>
      <c r="F528" s="2">
        <v>399</v>
      </c>
      <c r="G528" s="3" t="s">
        <v>78</v>
      </c>
      <c r="H528" s="3" t="s">
        <v>64</v>
      </c>
      <c r="I528" s="2">
        <v>64</v>
      </c>
      <c r="J528" s="6" t="str">
        <f>_xlfn.IFNA(VLOOKUP(C528,merchants!$A$1:$D$41,2,0),"Merchant not found")</f>
        <v>Merchant_029</v>
      </c>
      <c r="K528" s="6" t="str">
        <f>_xlfn.IFNA(VLOOKUP(C528,merchants!$A$1:$D$41,3,0),"Merchant not found")</f>
        <v>ecommerce</v>
      </c>
      <c r="L528" s="6" t="str">
        <f>_xlfn.IFNA(VLOOKUP(C528,merchants!$A$1:$D$41,4,0),"Merchant not found")</f>
        <v>North</v>
      </c>
      <c r="M528" s="9">
        <f t="shared" si="17"/>
        <v>7.9800000000000004</v>
      </c>
      <c r="N528" s="6" t="str">
        <f>IF(AND(L528&lt;&gt;"East",SUMIFS(merchant_workbook_pivot_table!$D$2:$D$444,merchant_workbook_pivot_table!$C$2:$C$444,E528,merchant_workbook_pivot_table!$B$2:$B$444,J528)&gt;5000),"High-Value Merchant Day",IF(AND(L528&lt;&gt;"East",SUMIFS(merchant_workbook_pivot_table!$D$2:$D$444,merchant_workbook_pivot_table!$C$2:$C$444,E528,merchant_workbook_pivot_table!$B$2:$B$444,J528)&gt;1000),"Mid-Value Merchant Day",""))</f>
        <v/>
      </c>
    </row>
    <row r="529">
      <c r="A529" s="3" t="s">
        <v>596</v>
      </c>
      <c r="B529" s="2">
        <v>154</v>
      </c>
      <c r="C529" s="2">
        <v>8</v>
      </c>
      <c r="D529" s="8" t="s">
        <v>1146</v>
      </c>
      <c r="E529" s="6" t="str">
        <f t="shared" si="16"/>
        <v>2026-01-02</v>
      </c>
      <c r="F529" s="2">
        <v>299</v>
      </c>
      <c r="G529" s="3" t="s">
        <v>78</v>
      </c>
      <c r="H529" s="3" t="s">
        <v>79</v>
      </c>
      <c r="I529" s="2">
        <v>81</v>
      </c>
      <c r="J529" s="6" t="str">
        <f>_xlfn.IFNA(VLOOKUP(C529,merchants!$A$1:$D$41,2,0),"Merchant not found")</f>
        <v>Merchant_008</v>
      </c>
      <c r="K529" s="6" t="str">
        <f>_xlfn.IFNA(VLOOKUP(C529,merchants!$A$1:$D$41,3,0),"Merchant not found")</f>
        <v>food_delivery</v>
      </c>
      <c r="L529" s="6" t="str">
        <f>_xlfn.IFNA(VLOOKUP(C529,merchants!$A$1:$D$41,4,0),"Merchant not found")</f>
        <v>North</v>
      </c>
      <c r="M529" s="9">
        <f t="shared" si="17"/>
        <v>5.9800000000000004</v>
      </c>
      <c r="N529" s="6" t="str">
        <f>IF(AND(L529&lt;&gt;"East",SUMIFS(merchant_workbook_pivot_table!$D$2:$D$444,merchant_workbook_pivot_table!$C$2:$C$444,E529,merchant_workbook_pivot_table!$B$2:$B$444,J529)&gt;5000),"High-Value Merchant Day",IF(AND(L529&lt;&gt;"East",SUMIFS(merchant_workbook_pivot_table!$D$2:$D$444,merchant_workbook_pivot_table!$C$2:$C$444,E529,merchant_workbook_pivot_table!$B$2:$B$444,J529)&gt;1000),"Mid-Value Merchant Day",""))</f>
        <v/>
      </c>
    </row>
    <row r="530">
      <c r="A530" s="3" t="s">
        <v>597</v>
      </c>
      <c r="B530" s="2">
        <v>154</v>
      </c>
      <c r="C530" s="2">
        <v>7</v>
      </c>
      <c r="D530" s="8" t="s">
        <v>1147</v>
      </c>
      <c r="E530" s="6" t="str">
        <f t="shared" si="16"/>
        <v>2026-01-02</v>
      </c>
      <c r="F530" s="2">
        <v>499</v>
      </c>
      <c r="G530" s="3" t="s">
        <v>78</v>
      </c>
      <c r="H530" s="3" t="s">
        <v>79</v>
      </c>
      <c r="I530" s="2">
        <v>70</v>
      </c>
      <c r="J530" s="6" t="str">
        <f>_xlfn.IFNA(VLOOKUP(C530,merchants!$A$1:$D$41,2,0),"Merchant not found")</f>
        <v>Merchant_007</v>
      </c>
      <c r="K530" s="6" t="str">
        <f>_xlfn.IFNA(VLOOKUP(C530,merchants!$A$1:$D$41,3,0),"Merchant not found")</f>
        <v>food_delivery</v>
      </c>
      <c r="L530" s="6" t="str">
        <f>_xlfn.IFNA(VLOOKUP(C530,merchants!$A$1:$D$41,4,0),"Merchant not found")</f>
        <v>East</v>
      </c>
      <c r="M530" s="9">
        <f t="shared" si="17"/>
        <v>9.9800000000000004</v>
      </c>
      <c r="N530" s="6" t="str">
        <f>IF(AND(L530&lt;&gt;"East",SUMIFS(merchant_workbook_pivot_table!$D$2:$D$444,merchant_workbook_pivot_table!$C$2:$C$444,E530,merchant_workbook_pivot_table!$B$2:$B$444,J530)&gt;5000),"High-Value Merchant Day",IF(AND(L530&lt;&gt;"East",SUMIFS(merchant_workbook_pivot_table!$D$2:$D$444,merchant_workbook_pivot_table!$C$2:$C$444,E530,merchant_workbook_pivot_table!$B$2:$B$444,J530)&gt;1000),"Mid-Value Merchant Day",""))</f>
        <v/>
      </c>
    </row>
    <row r="531">
      <c r="A531" s="3" t="s">
        <v>598</v>
      </c>
      <c r="B531" s="2">
        <v>154</v>
      </c>
      <c r="C531" s="2">
        <v>16</v>
      </c>
      <c r="D531" s="8" t="s">
        <v>1148</v>
      </c>
      <c r="E531" s="6" t="str">
        <f t="shared" si="16"/>
        <v>2026-01-02</v>
      </c>
      <c r="F531" s="2">
        <v>499</v>
      </c>
      <c r="G531" s="3" t="s">
        <v>78</v>
      </c>
      <c r="H531" s="3" t="s">
        <v>79</v>
      </c>
      <c r="I531" s="2">
        <v>71</v>
      </c>
      <c r="J531" s="6" t="str">
        <f>_xlfn.IFNA(VLOOKUP(C531,merchants!$A$1:$D$41,2,0),"Merchant not found")</f>
        <v>Merchant_016</v>
      </c>
      <c r="K531" s="6" t="str">
        <f>_xlfn.IFNA(VLOOKUP(C531,merchants!$A$1:$D$41,3,0),"Merchant not found")</f>
        <v>bill_payment</v>
      </c>
      <c r="L531" s="6" t="str">
        <f>_xlfn.IFNA(VLOOKUP(C531,merchants!$A$1:$D$41,4,0),"Merchant not found")</f>
        <v>West</v>
      </c>
      <c r="M531" s="9">
        <f t="shared" si="17"/>
        <v>9.9800000000000004</v>
      </c>
      <c r="N531" s="6" t="str">
        <f>IF(AND(L531&lt;&gt;"East",SUMIFS(merchant_workbook_pivot_table!$D$2:$D$444,merchant_workbook_pivot_table!$C$2:$C$444,E531,merchant_workbook_pivot_table!$B$2:$B$444,J531)&gt;5000),"High-Value Merchant Day",IF(AND(L531&lt;&gt;"East",SUMIFS(merchant_workbook_pivot_table!$D$2:$D$444,merchant_workbook_pivot_table!$C$2:$C$444,E531,merchant_workbook_pivot_table!$B$2:$B$444,J531)&gt;1000),"Mid-Value Merchant Day",""))</f>
        <v/>
      </c>
    </row>
    <row r="532">
      <c r="A532" s="3" t="s">
        <v>599</v>
      </c>
      <c r="B532" s="2">
        <v>154</v>
      </c>
      <c r="C532" s="2">
        <v>36</v>
      </c>
      <c r="D532" s="8" t="s">
        <v>1149</v>
      </c>
      <c r="E532" s="6" t="str">
        <f t="shared" si="16"/>
        <v>2026-01-02</v>
      </c>
      <c r="F532" s="2">
        <v>299</v>
      </c>
      <c r="G532" s="3" t="s">
        <v>78</v>
      </c>
      <c r="H532" s="3" t="s">
        <v>64</v>
      </c>
      <c r="I532" s="2">
        <v>81</v>
      </c>
      <c r="J532" s="6" t="str">
        <f>_xlfn.IFNA(VLOOKUP(C532,merchants!$A$1:$D$41,2,0),"Merchant not found")</f>
        <v>Merchant_036</v>
      </c>
      <c r="K532" s="6" t="str">
        <f>_xlfn.IFNA(VLOOKUP(C532,merchants!$A$1:$D$41,3,0),"Merchant not found")</f>
        <v>entertainment</v>
      </c>
      <c r="L532" s="6" t="str">
        <f>_xlfn.IFNA(VLOOKUP(C532,merchants!$A$1:$D$41,4,0),"Merchant not found")</f>
        <v>East</v>
      </c>
      <c r="M532" s="9">
        <f t="shared" si="17"/>
        <v>5.9800000000000004</v>
      </c>
      <c r="N532" s="6" t="str">
        <f>IF(AND(L532&lt;&gt;"East",SUMIFS(merchant_workbook_pivot_table!$D$2:$D$444,merchant_workbook_pivot_table!$C$2:$C$444,E532,merchant_workbook_pivot_table!$B$2:$B$444,J532)&gt;5000),"High-Value Merchant Day",IF(AND(L532&lt;&gt;"East",SUMIFS(merchant_workbook_pivot_table!$D$2:$D$444,merchant_workbook_pivot_table!$C$2:$C$444,E532,merchant_workbook_pivot_table!$B$2:$B$444,J532)&gt;1000),"Mid-Value Merchant Day",""))</f>
        <v/>
      </c>
    </row>
    <row r="533">
      <c r="A533" s="3" t="s">
        <v>600</v>
      </c>
      <c r="B533" s="2">
        <v>287</v>
      </c>
      <c r="C533" s="2">
        <v>15</v>
      </c>
      <c r="D533" s="8" t="s">
        <v>1150</v>
      </c>
      <c r="E533" s="6" t="str">
        <f t="shared" si="16"/>
        <v>2026-01-14</v>
      </c>
      <c r="F533" s="2">
        <v>399</v>
      </c>
      <c r="G533" s="3" t="s">
        <v>78</v>
      </c>
      <c r="H533" s="3" t="s">
        <v>79</v>
      </c>
      <c r="I533" s="2">
        <v>71</v>
      </c>
      <c r="J533" s="6" t="str">
        <f>_xlfn.IFNA(VLOOKUP(C533,merchants!$A$1:$D$41,2,0),"Merchant not found")</f>
        <v>Merchant_015</v>
      </c>
      <c r="K533" s="6" t="str">
        <f>_xlfn.IFNA(VLOOKUP(C533,merchants!$A$1:$D$41,3,0),"Merchant not found")</f>
        <v>travel</v>
      </c>
      <c r="L533" s="6" t="str">
        <f>_xlfn.IFNA(VLOOKUP(C533,merchants!$A$1:$D$41,4,0),"Merchant not found")</f>
        <v>North</v>
      </c>
      <c r="M533" s="9">
        <f t="shared" si="17"/>
        <v>7.9800000000000004</v>
      </c>
      <c r="N533" s="6" t="str">
        <f>IF(AND(L533&lt;&gt;"East",SUMIFS(merchant_workbook_pivot_table!$D$2:$D$444,merchant_workbook_pivot_table!$C$2:$C$444,E533,merchant_workbook_pivot_table!$B$2:$B$444,J533)&gt;5000),"High-Value Merchant Day",IF(AND(L533&lt;&gt;"East",SUMIFS(merchant_workbook_pivot_table!$D$2:$D$444,merchant_workbook_pivot_table!$C$2:$C$444,E533,merchant_workbook_pivot_table!$B$2:$B$444,J533)&gt;1000),"Mid-Value Merchant Day",""))</f>
        <v/>
      </c>
    </row>
    <row r="534">
      <c r="A534" s="3" t="s">
        <v>601</v>
      </c>
      <c r="B534" s="2">
        <v>287</v>
      </c>
      <c r="C534" s="2">
        <v>12</v>
      </c>
      <c r="D534" s="8" t="s">
        <v>1151</v>
      </c>
      <c r="E534" s="6" t="str">
        <f t="shared" si="16"/>
        <v>2026-01-14</v>
      </c>
      <c r="F534" s="2">
        <v>499</v>
      </c>
      <c r="G534" s="3" t="s">
        <v>78</v>
      </c>
      <c r="H534" s="3" t="s">
        <v>79</v>
      </c>
      <c r="I534" s="2">
        <v>87</v>
      </c>
      <c r="J534" s="6" t="str">
        <f>_xlfn.IFNA(VLOOKUP(C534,merchants!$A$1:$D$41,2,0),"Merchant not found")</f>
        <v>Merchant_012</v>
      </c>
      <c r="K534" s="6" t="str">
        <f>_xlfn.IFNA(VLOOKUP(C534,merchants!$A$1:$D$41,3,0),"Merchant not found")</f>
        <v>ecommerce</v>
      </c>
      <c r="L534" s="6" t="str">
        <f>_xlfn.IFNA(VLOOKUP(C534,merchants!$A$1:$D$41,4,0),"Merchant not found")</f>
        <v>East</v>
      </c>
      <c r="M534" s="9">
        <f t="shared" si="17"/>
        <v>9.9800000000000004</v>
      </c>
      <c r="N534" s="6" t="str">
        <f>IF(AND(L534&lt;&gt;"East",SUMIFS(merchant_workbook_pivot_table!$D$2:$D$444,merchant_workbook_pivot_table!$C$2:$C$444,E534,merchant_workbook_pivot_table!$B$2:$B$444,J534)&gt;5000),"High-Value Merchant Day",IF(AND(L534&lt;&gt;"East",SUMIFS(merchant_workbook_pivot_table!$D$2:$D$444,merchant_workbook_pivot_table!$C$2:$C$444,E534,merchant_workbook_pivot_table!$B$2:$B$444,J534)&gt;1000),"Mid-Value Merchant Day",""))</f>
        <v/>
      </c>
    </row>
    <row r="535">
      <c r="A535" s="3" t="s">
        <v>602</v>
      </c>
      <c r="B535" s="2">
        <v>287</v>
      </c>
      <c r="C535" s="2">
        <v>26</v>
      </c>
      <c r="D535" s="8" t="s">
        <v>1152</v>
      </c>
      <c r="E535" s="6" t="str">
        <f t="shared" si="16"/>
        <v>2026-01-14</v>
      </c>
      <c r="F535" s="2">
        <v>299</v>
      </c>
      <c r="G535" s="3" t="s">
        <v>78</v>
      </c>
      <c r="H535" s="3" t="s">
        <v>79</v>
      </c>
      <c r="I535" s="2">
        <v>72</v>
      </c>
      <c r="J535" s="6" t="str">
        <f>_xlfn.IFNA(VLOOKUP(C535,merchants!$A$1:$D$41,2,0),"Merchant not found")</f>
        <v>Merchant_026</v>
      </c>
      <c r="K535" s="6" t="str">
        <f>_xlfn.IFNA(VLOOKUP(C535,merchants!$A$1:$D$41,3,0),"Merchant not found")</f>
        <v>food_delivery</v>
      </c>
      <c r="L535" s="6" t="str">
        <f>_xlfn.IFNA(VLOOKUP(C535,merchants!$A$1:$D$41,4,0),"Merchant not found")</f>
        <v>East</v>
      </c>
      <c r="M535" s="9">
        <f t="shared" si="17"/>
        <v>5.9800000000000004</v>
      </c>
      <c r="N535" s="6" t="str">
        <f>IF(AND(L535&lt;&gt;"East",SUMIFS(merchant_workbook_pivot_table!$D$2:$D$444,merchant_workbook_pivot_table!$C$2:$C$444,E535,merchant_workbook_pivot_table!$B$2:$B$444,J535)&gt;5000),"High-Value Merchant Day",IF(AND(L535&lt;&gt;"East",SUMIFS(merchant_workbook_pivot_table!$D$2:$D$444,merchant_workbook_pivot_table!$C$2:$C$444,E535,merchant_workbook_pivot_table!$B$2:$B$444,J535)&gt;1000),"Mid-Value Merchant Day",""))</f>
        <v/>
      </c>
    </row>
    <row r="536">
      <c r="A536" s="3" t="s">
        <v>603</v>
      </c>
      <c r="B536" s="2">
        <v>287</v>
      </c>
      <c r="C536" s="2">
        <v>29</v>
      </c>
      <c r="D536" s="8" t="s">
        <v>1153</v>
      </c>
      <c r="E536" s="6" t="str">
        <f t="shared" si="16"/>
        <v>2026-01-14</v>
      </c>
      <c r="F536" s="2">
        <v>499</v>
      </c>
      <c r="G536" s="3" t="s">
        <v>78</v>
      </c>
      <c r="H536" s="3" t="s">
        <v>64</v>
      </c>
      <c r="I536" s="2">
        <v>87</v>
      </c>
      <c r="J536" s="6" t="str">
        <f>_xlfn.IFNA(VLOOKUP(C536,merchants!$A$1:$D$41,2,0),"Merchant not found")</f>
        <v>Merchant_029</v>
      </c>
      <c r="K536" s="6" t="str">
        <f>_xlfn.IFNA(VLOOKUP(C536,merchants!$A$1:$D$41,3,0),"Merchant not found")</f>
        <v>ecommerce</v>
      </c>
      <c r="L536" s="6" t="str">
        <f>_xlfn.IFNA(VLOOKUP(C536,merchants!$A$1:$D$41,4,0),"Merchant not found")</f>
        <v>North</v>
      </c>
      <c r="M536" s="9">
        <f t="shared" si="17"/>
        <v>9.9800000000000004</v>
      </c>
      <c r="N536" s="6" t="str">
        <f>IF(AND(L536&lt;&gt;"East",SUMIFS(merchant_workbook_pivot_table!$D$2:$D$444,merchant_workbook_pivot_table!$C$2:$C$444,E536,merchant_workbook_pivot_table!$B$2:$B$444,J536)&gt;5000),"High-Value Merchant Day",IF(AND(L536&lt;&gt;"East",SUMIFS(merchant_workbook_pivot_table!$D$2:$D$444,merchant_workbook_pivot_table!$C$2:$C$444,E536,merchant_workbook_pivot_table!$B$2:$B$444,J536)&gt;1000),"Mid-Value Merchant Day",""))</f>
        <v xml:space="preserve">Mid-Value Merchant Day</v>
      </c>
    </row>
    <row r="537">
      <c r="A537" s="3" t="s">
        <v>604</v>
      </c>
      <c r="B537" s="2">
        <v>200</v>
      </c>
      <c r="C537" s="2">
        <v>14</v>
      </c>
      <c r="D537" s="8" t="s">
        <v>1154</v>
      </c>
      <c r="E537" s="6" t="str">
        <f t="shared" si="16"/>
        <v>2026-01-01</v>
      </c>
      <c r="F537" s="2">
        <v>299</v>
      </c>
      <c r="G537" s="3" t="s">
        <v>78</v>
      </c>
      <c r="H537" s="3" t="s">
        <v>79</v>
      </c>
      <c r="I537" s="2">
        <v>77</v>
      </c>
      <c r="J537" s="6" t="str">
        <f>_xlfn.IFNA(VLOOKUP(C537,merchants!$A$1:$D$41,2,0),"Merchant not found")</f>
        <v>Merchant_014</v>
      </c>
      <c r="K537" s="6" t="str">
        <f>_xlfn.IFNA(VLOOKUP(C537,merchants!$A$1:$D$41,3,0),"Merchant not found")</f>
        <v>grocery</v>
      </c>
      <c r="L537" s="6" t="str">
        <f>_xlfn.IFNA(VLOOKUP(C537,merchants!$A$1:$D$41,4,0),"Merchant not found")</f>
        <v>East</v>
      </c>
      <c r="M537" s="9">
        <f t="shared" si="17"/>
        <v>5.9800000000000004</v>
      </c>
      <c r="N537" s="6" t="str">
        <f>IF(AND(L537&lt;&gt;"East",SUMIFS(merchant_workbook_pivot_table!$D$2:$D$444,merchant_workbook_pivot_table!$C$2:$C$444,E537,merchant_workbook_pivot_table!$B$2:$B$444,J537)&gt;5000),"High-Value Merchant Day",IF(AND(L537&lt;&gt;"East",SUMIFS(merchant_workbook_pivot_table!$D$2:$D$444,merchant_workbook_pivot_table!$C$2:$C$444,E537,merchant_workbook_pivot_table!$B$2:$B$444,J537)&gt;1000),"Mid-Value Merchant Day",""))</f>
        <v/>
      </c>
    </row>
    <row r="538">
      <c r="A538" s="3" t="s">
        <v>605</v>
      </c>
      <c r="B538" s="2">
        <v>200</v>
      </c>
      <c r="C538" s="2">
        <v>5</v>
      </c>
      <c r="D538" s="8" t="s">
        <v>1155</v>
      </c>
      <c r="E538" s="6" t="str">
        <f t="shared" si="16"/>
        <v>2026-01-01</v>
      </c>
      <c r="F538" s="2">
        <v>499</v>
      </c>
      <c r="G538" s="3" t="s">
        <v>78</v>
      </c>
      <c r="H538" s="3" t="s">
        <v>79</v>
      </c>
      <c r="I538" s="2">
        <v>66</v>
      </c>
      <c r="J538" s="6" t="str">
        <f>_xlfn.IFNA(VLOOKUP(C538,merchants!$A$1:$D$41,2,0),"Merchant not found")</f>
        <v>Merchant_005</v>
      </c>
      <c r="K538" s="6" t="str">
        <f>_xlfn.IFNA(VLOOKUP(C538,merchants!$A$1:$D$41,3,0),"Merchant not found")</f>
        <v>recharge</v>
      </c>
      <c r="L538" s="6" t="str">
        <f>_xlfn.IFNA(VLOOKUP(C538,merchants!$A$1:$D$41,4,0),"Merchant not found")</f>
        <v>South</v>
      </c>
      <c r="M538" s="9">
        <f t="shared" si="17"/>
        <v>9.9800000000000004</v>
      </c>
      <c r="N538" s="6" t="str">
        <f>IF(AND(L538&lt;&gt;"East",SUMIFS(merchant_workbook_pivot_table!$D$2:$D$444,merchant_workbook_pivot_table!$C$2:$C$444,E538,merchant_workbook_pivot_table!$B$2:$B$444,J538)&gt;5000),"High-Value Merchant Day",IF(AND(L538&lt;&gt;"East",SUMIFS(merchant_workbook_pivot_table!$D$2:$D$444,merchant_workbook_pivot_table!$C$2:$C$444,E538,merchant_workbook_pivot_table!$B$2:$B$444,J538)&gt;1000),"Mid-Value Merchant Day",""))</f>
        <v/>
      </c>
    </row>
    <row r="539">
      <c r="A539" s="3" t="s">
        <v>606</v>
      </c>
      <c r="B539" s="2">
        <v>200</v>
      </c>
      <c r="C539" s="2">
        <v>35</v>
      </c>
      <c r="D539" s="8" t="s">
        <v>1156</v>
      </c>
      <c r="E539" s="6" t="str">
        <f t="shared" si="16"/>
        <v>2026-01-01</v>
      </c>
      <c r="F539" s="2">
        <v>299</v>
      </c>
      <c r="G539" s="3" t="s">
        <v>78</v>
      </c>
      <c r="H539" s="3" t="s">
        <v>79</v>
      </c>
      <c r="I539" s="2">
        <v>83</v>
      </c>
      <c r="J539" s="6" t="str">
        <f>_xlfn.IFNA(VLOOKUP(C539,merchants!$A$1:$D$41,2,0),"Merchant not found")</f>
        <v>Merchant_035</v>
      </c>
      <c r="K539" s="6" t="str">
        <f>_xlfn.IFNA(VLOOKUP(C539,merchants!$A$1:$D$41,3,0),"Merchant not found")</f>
        <v>recharge</v>
      </c>
      <c r="L539" s="6" t="str">
        <f>_xlfn.IFNA(VLOOKUP(C539,merchants!$A$1:$D$41,4,0),"Merchant not found")</f>
        <v>East</v>
      </c>
      <c r="M539" s="9">
        <f t="shared" si="17"/>
        <v>5.9800000000000004</v>
      </c>
      <c r="N539" s="6" t="str">
        <f>IF(AND(L539&lt;&gt;"East",SUMIFS(merchant_workbook_pivot_table!$D$2:$D$444,merchant_workbook_pivot_table!$C$2:$C$444,E539,merchant_workbook_pivot_table!$B$2:$B$444,J539)&gt;5000),"High-Value Merchant Day",IF(AND(L539&lt;&gt;"East",SUMIFS(merchant_workbook_pivot_table!$D$2:$D$444,merchant_workbook_pivot_table!$C$2:$C$444,E539,merchant_workbook_pivot_table!$B$2:$B$444,J539)&gt;1000),"Mid-Value Merchant Day",""))</f>
        <v/>
      </c>
    </row>
    <row r="540">
      <c r="A540" s="3" t="s">
        <v>607</v>
      </c>
      <c r="B540" s="2">
        <v>200</v>
      </c>
      <c r="C540" s="2">
        <v>21</v>
      </c>
      <c r="D540" s="8" t="s">
        <v>1157</v>
      </c>
      <c r="E540" s="6" t="str">
        <f t="shared" si="16"/>
        <v>2026-01-01</v>
      </c>
      <c r="F540" s="2">
        <v>299</v>
      </c>
      <c r="G540" s="3" t="s">
        <v>78</v>
      </c>
      <c r="H540" s="3" t="s">
        <v>64</v>
      </c>
      <c r="I540" s="2">
        <v>89</v>
      </c>
      <c r="J540" s="6" t="str">
        <f>_xlfn.IFNA(VLOOKUP(C540,merchants!$A$1:$D$41,2,0),"Merchant not found")</f>
        <v>Merchant_021</v>
      </c>
      <c r="K540" s="6" t="str">
        <f>_xlfn.IFNA(VLOOKUP(C540,merchants!$A$1:$D$41,3,0),"Merchant not found")</f>
        <v>food_delivery</v>
      </c>
      <c r="L540" s="6" t="str">
        <f>_xlfn.IFNA(VLOOKUP(C540,merchants!$A$1:$D$41,4,0),"Merchant not found")</f>
        <v>East</v>
      </c>
      <c r="M540" s="9">
        <f t="shared" si="17"/>
        <v>5.9800000000000004</v>
      </c>
      <c r="N540" s="6" t="str">
        <f>IF(AND(L540&lt;&gt;"East",SUMIFS(merchant_workbook_pivot_table!$D$2:$D$444,merchant_workbook_pivot_table!$C$2:$C$444,E540,merchant_workbook_pivot_table!$B$2:$B$444,J540)&gt;5000),"High-Value Merchant Day",IF(AND(L540&lt;&gt;"East",SUMIFS(merchant_workbook_pivot_table!$D$2:$D$444,merchant_workbook_pivot_table!$C$2:$C$444,E540,merchant_workbook_pivot_table!$B$2:$B$444,J540)&gt;1000),"Mid-Value Merchant Day",""))</f>
        <v/>
      </c>
    </row>
    <row r="541">
      <c r="A541" s="3" t="s">
        <v>608</v>
      </c>
      <c r="B541" s="2">
        <v>59</v>
      </c>
      <c r="C541" s="2">
        <v>32</v>
      </c>
      <c r="D541" s="8" t="s">
        <v>1158</v>
      </c>
      <c r="E541" s="6" t="str">
        <f t="shared" si="16"/>
        <v>2026-01-09</v>
      </c>
      <c r="F541" s="2">
        <v>499</v>
      </c>
      <c r="G541" s="3" t="s">
        <v>78</v>
      </c>
      <c r="H541" s="3" t="s">
        <v>79</v>
      </c>
      <c r="I541" s="2">
        <v>80</v>
      </c>
      <c r="J541" s="6" t="str">
        <f>_xlfn.IFNA(VLOOKUP(C541,merchants!$A$1:$D$41,2,0),"Merchant not found")</f>
        <v>Merchant_032</v>
      </c>
      <c r="K541" s="6" t="str">
        <f>_xlfn.IFNA(VLOOKUP(C541,merchants!$A$1:$D$41,3,0),"Merchant not found")</f>
        <v>food_delivery</v>
      </c>
      <c r="L541" s="6" t="str">
        <f>_xlfn.IFNA(VLOOKUP(C541,merchants!$A$1:$D$41,4,0),"Merchant not found")</f>
        <v>West</v>
      </c>
      <c r="M541" s="9">
        <f t="shared" si="17"/>
        <v>9.9800000000000004</v>
      </c>
      <c r="N541" s="6" t="str">
        <f>IF(AND(L541&lt;&gt;"East",SUMIFS(merchant_workbook_pivot_table!$D$2:$D$444,merchant_workbook_pivot_table!$C$2:$C$444,E541,merchant_workbook_pivot_table!$B$2:$B$444,J541)&gt;5000),"High-Value Merchant Day",IF(AND(L541&lt;&gt;"East",SUMIFS(merchant_workbook_pivot_table!$D$2:$D$444,merchant_workbook_pivot_table!$C$2:$C$444,E541,merchant_workbook_pivot_table!$B$2:$B$444,J541)&gt;1000),"Mid-Value Merchant Day",""))</f>
        <v/>
      </c>
    </row>
    <row r="542">
      <c r="A542" s="3" t="s">
        <v>609</v>
      </c>
      <c r="B542" s="2">
        <v>59</v>
      </c>
      <c r="C542" s="2">
        <v>39</v>
      </c>
      <c r="D542" s="8" t="s">
        <v>1159</v>
      </c>
      <c r="E542" s="6" t="str">
        <f t="shared" si="16"/>
        <v>2026-01-09</v>
      </c>
      <c r="F542" s="2">
        <v>399</v>
      </c>
      <c r="G542" s="3" t="s">
        <v>78</v>
      </c>
      <c r="H542" s="3" t="s">
        <v>79</v>
      </c>
      <c r="I542" s="2">
        <v>85</v>
      </c>
      <c r="J542" s="6" t="str">
        <f>_xlfn.IFNA(VLOOKUP(C542,merchants!$A$1:$D$41,2,0),"Merchant not found")</f>
        <v>Merchant_039</v>
      </c>
      <c r="K542" s="6" t="str">
        <f>_xlfn.IFNA(VLOOKUP(C542,merchants!$A$1:$D$41,3,0),"Merchant not found")</f>
        <v>entertainment</v>
      </c>
      <c r="L542" s="6" t="str">
        <f>_xlfn.IFNA(VLOOKUP(C542,merchants!$A$1:$D$41,4,0),"Merchant not found")</f>
        <v>North</v>
      </c>
      <c r="M542" s="9">
        <f t="shared" si="17"/>
        <v>7.9800000000000004</v>
      </c>
      <c r="N542" s="6" t="str">
        <f>IF(AND(L542&lt;&gt;"East",SUMIFS(merchant_workbook_pivot_table!$D$2:$D$444,merchant_workbook_pivot_table!$C$2:$C$444,E542,merchant_workbook_pivot_table!$B$2:$B$444,J542)&gt;5000),"High-Value Merchant Day",IF(AND(L542&lt;&gt;"East",SUMIFS(merchant_workbook_pivot_table!$D$2:$D$444,merchant_workbook_pivot_table!$C$2:$C$444,E542,merchant_workbook_pivot_table!$B$2:$B$444,J542)&gt;1000),"Mid-Value Merchant Day",""))</f>
        <v/>
      </c>
    </row>
    <row r="543">
      <c r="A543" s="3" t="s">
        <v>610</v>
      </c>
      <c r="B543" s="2">
        <v>59</v>
      </c>
      <c r="C543" s="2">
        <v>38</v>
      </c>
      <c r="D543" s="8" t="s">
        <v>1160</v>
      </c>
      <c r="E543" s="6" t="str">
        <f t="shared" si="16"/>
        <v>2026-01-09</v>
      </c>
      <c r="F543" s="2">
        <v>299</v>
      </c>
      <c r="G543" s="3" t="s">
        <v>78</v>
      </c>
      <c r="H543" s="3" t="s">
        <v>79</v>
      </c>
      <c r="I543" s="2">
        <v>82</v>
      </c>
      <c r="J543" s="6" t="str">
        <f>_xlfn.IFNA(VLOOKUP(C543,merchants!$A$1:$D$41,2,0),"Merchant not found")</f>
        <v>Merchant_038</v>
      </c>
      <c r="K543" s="6" t="str">
        <f>_xlfn.IFNA(VLOOKUP(C543,merchants!$A$1:$D$41,3,0),"Merchant not found")</f>
        <v>grocery</v>
      </c>
      <c r="L543" s="6" t="str">
        <f>_xlfn.IFNA(VLOOKUP(C543,merchants!$A$1:$D$41,4,0),"Merchant not found")</f>
        <v>East</v>
      </c>
      <c r="M543" s="9">
        <f t="shared" si="17"/>
        <v>5.9800000000000004</v>
      </c>
      <c r="N543" s="6" t="str">
        <f>IF(AND(L543&lt;&gt;"East",SUMIFS(merchant_workbook_pivot_table!$D$2:$D$444,merchant_workbook_pivot_table!$C$2:$C$444,E543,merchant_workbook_pivot_table!$B$2:$B$444,J543)&gt;5000),"High-Value Merchant Day",IF(AND(L543&lt;&gt;"East",SUMIFS(merchant_workbook_pivot_table!$D$2:$D$444,merchant_workbook_pivot_table!$C$2:$C$444,E543,merchant_workbook_pivot_table!$B$2:$B$444,J543)&gt;1000),"Mid-Value Merchant Day",""))</f>
        <v/>
      </c>
    </row>
    <row r="544">
      <c r="A544" s="3" t="s">
        <v>611</v>
      </c>
      <c r="B544" s="2">
        <v>59</v>
      </c>
      <c r="C544" s="2">
        <v>23</v>
      </c>
      <c r="D544" s="8" t="s">
        <v>1161</v>
      </c>
      <c r="E544" s="6" t="str">
        <f t="shared" si="16"/>
        <v>2026-01-09</v>
      </c>
      <c r="F544" s="2">
        <v>399</v>
      </c>
      <c r="G544" s="3" t="s">
        <v>78</v>
      </c>
      <c r="H544" s="3" t="s">
        <v>64</v>
      </c>
      <c r="I544" s="2">
        <v>71</v>
      </c>
      <c r="J544" s="6" t="str">
        <f>_xlfn.IFNA(VLOOKUP(C544,merchants!$A$1:$D$41,2,0),"Merchant not found")</f>
        <v>Merchant_023</v>
      </c>
      <c r="K544" s="6" t="str">
        <f>_xlfn.IFNA(VLOOKUP(C544,merchants!$A$1:$D$41,3,0),"Merchant not found")</f>
        <v>travel</v>
      </c>
      <c r="L544" s="6" t="str">
        <f>_xlfn.IFNA(VLOOKUP(C544,merchants!$A$1:$D$41,4,0),"Merchant not found")</f>
        <v>North</v>
      </c>
      <c r="M544" s="9">
        <f t="shared" si="17"/>
        <v>7.9800000000000004</v>
      </c>
      <c r="N544" s="6" t="str">
        <f>IF(AND(L544&lt;&gt;"East",SUMIFS(merchant_workbook_pivot_table!$D$2:$D$444,merchant_workbook_pivot_table!$C$2:$C$444,E544,merchant_workbook_pivot_table!$B$2:$B$444,J544)&gt;5000),"High-Value Merchant Day",IF(AND(L544&lt;&gt;"East",SUMIFS(merchant_workbook_pivot_table!$D$2:$D$444,merchant_workbook_pivot_table!$C$2:$C$444,E544,merchant_workbook_pivot_table!$B$2:$B$444,J544)&gt;1000),"Mid-Value Merchant Day",""))</f>
        <v/>
      </c>
    </row>
    <row r="545">
      <c r="A545" s="3" t="s">
        <v>612</v>
      </c>
      <c r="B545" s="2">
        <v>345</v>
      </c>
      <c r="C545" s="2">
        <v>40</v>
      </c>
      <c r="D545" s="8" t="s">
        <v>1162</v>
      </c>
      <c r="E545" s="6" t="str">
        <f t="shared" si="16"/>
        <v>2026-01-23</v>
      </c>
      <c r="F545" s="2">
        <v>499</v>
      </c>
      <c r="G545" s="3" t="s">
        <v>78</v>
      </c>
      <c r="H545" s="3" t="s">
        <v>79</v>
      </c>
      <c r="I545" s="2">
        <v>65</v>
      </c>
      <c r="J545" s="6" t="str">
        <f>_xlfn.IFNA(VLOOKUP(C545,merchants!$A$1:$D$41,2,0),"Merchant not found")</f>
        <v>Merchant_040</v>
      </c>
      <c r="K545" s="6" t="str">
        <f>_xlfn.IFNA(VLOOKUP(C545,merchants!$A$1:$D$41,3,0),"Merchant not found")</f>
        <v>entertainment</v>
      </c>
      <c r="L545" s="6" t="str">
        <f>_xlfn.IFNA(VLOOKUP(C545,merchants!$A$1:$D$41,4,0),"Merchant not found")</f>
        <v>South</v>
      </c>
      <c r="M545" s="9">
        <f t="shared" si="17"/>
        <v>9.9800000000000004</v>
      </c>
      <c r="N545" s="6" t="str">
        <f>IF(AND(L545&lt;&gt;"East",SUMIFS(merchant_workbook_pivot_table!$D$2:$D$444,merchant_workbook_pivot_table!$C$2:$C$444,E545,merchant_workbook_pivot_table!$B$2:$B$444,J545)&gt;5000),"High-Value Merchant Day",IF(AND(L545&lt;&gt;"East",SUMIFS(merchant_workbook_pivot_table!$D$2:$D$444,merchant_workbook_pivot_table!$C$2:$C$444,E545,merchant_workbook_pivot_table!$B$2:$B$444,J545)&gt;1000),"Mid-Value Merchant Day",""))</f>
        <v/>
      </c>
    </row>
    <row r="546">
      <c r="A546" s="3" t="s">
        <v>613</v>
      </c>
      <c r="B546" s="2">
        <v>345</v>
      </c>
      <c r="C546" s="2">
        <v>9</v>
      </c>
      <c r="D546" s="8" t="s">
        <v>1163</v>
      </c>
      <c r="E546" s="6" t="str">
        <f t="shared" si="16"/>
        <v>2026-01-23</v>
      </c>
      <c r="F546" s="2">
        <v>399</v>
      </c>
      <c r="G546" s="3" t="s">
        <v>78</v>
      </c>
      <c r="H546" s="3" t="s">
        <v>79</v>
      </c>
      <c r="I546" s="2">
        <v>67</v>
      </c>
      <c r="J546" s="6" t="str">
        <f>_xlfn.IFNA(VLOOKUP(C546,merchants!$A$1:$D$41,2,0),"Merchant not found")</f>
        <v>Merchant_009</v>
      </c>
      <c r="K546" s="6" t="str">
        <f>_xlfn.IFNA(VLOOKUP(C546,merchants!$A$1:$D$41,3,0),"Merchant not found")</f>
        <v>ecommerce</v>
      </c>
      <c r="L546" s="6" t="str">
        <f>_xlfn.IFNA(VLOOKUP(C546,merchants!$A$1:$D$41,4,0),"Merchant not found")</f>
        <v>North</v>
      </c>
      <c r="M546" s="9">
        <f t="shared" si="17"/>
        <v>7.9800000000000004</v>
      </c>
      <c r="N546" s="6" t="str">
        <f>IF(AND(L546&lt;&gt;"East",SUMIFS(merchant_workbook_pivot_table!$D$2:$D$444,merchant_workbook_pivot_table!$C$2:$C$444,E546,merchant_workbook_pivot_table!$B$2:$B$444,J546)&gt;5000),"High-Value Merchant Day",IF(AND(L546&lt;&gt;"East",SUMIFS(merchant_workbook_pivot_table!$D$2:$D$444,merchant_workbook_pivot_table!$C$2:$C$444,E546,merchant_workbook_pivot_table!$B$2:$B$444,J546)&gt;1000),"Mid-Value Merchant Day",""))</f>
        <v/>
      </c>
    </row>
    <row r="547">
      <c r="A547" s="3" t="s">
        <v>614</v>
      </c>
      <c r="B547" s="2">
        <v>345</v>
      </c>
      <c r="C547" s="2">
        <v>16</v>
      </c>
      <c r="D547" s="8" t="s">
        <v>1164</v>
      </c>
      <c r="E547" s="6" t="str">
        <f t="shared" si="16"/>
        <v>2026-01-23</v>
      </c>
      <c r="F547" s="2">
        <v>399</v>
      </c>
      <c r="G547" s="3" t="s">
        <v>78</v>
      </c>
      <c r="H547" s="3" t="s">
        <v>79</v>
      </c>
      <c r="I547" s="2">
        <v>67</v>
      </c>
      <c r="J547" s="6" t="str">
        <f>_xlfn.IFNA(VLOOKUP(C547,merchants!$A$1:$D$41,2,0),"Merchant not found")</f>
        <v>Merchant_016</v>
      </c>
      <c r="K547" s="6" t="str">
        <f>_xlfn.IFNA(VLOOKUP(C547,merchants!$A$1:$D$41,3,0),"Merchant not found")</f>
        <v>bill_payment</v>
      </c>
      <c r="L547" s="6" t="str">
        <f>_xlfn.IFNA(VLOOKUP(C547,merchants!$A$1:$D$41,4,0),"Merchant not found")</f>
        <v>West</v>
      </c>
      <c r="M547" s="9">
        <f t="shared" si="17"/>
        <v>7.9800000000000004</v>
      </c>
      <c r="N547" s="6" t="str">
        <f>IF(AND(L547&lt;&gt;"East",SUMIFS(merchant_workbook_pivot_table!$D$2:$D$444,merchant_workbook_pivot_table!$C$2:$C$444,E547,merchant_workbook_pivot_table!$B$2:$B$444,J547)&gt;5000),"High-Value Merchant Day",IF(AND(L547&lt;&gt;"East",SUMIFS(merchant_workbook_pivot_table!$D$2:$D$444,merchant_workbook_pivot_table!$C$2:$C$444,E547,merchant_workbook_pivot_table!$B$2:$B$444,J547)&gt;1000),"Mid-Value Merchant Day",""))</f>
        <v/>
      </c>
    </row>
    <row r="548">
      <c r="A548" s="3" t="s">
        <v>615</v>
      </c>
      <c r="B548" s="2">
        <v>345</v>
      </c>
      <c r="C548" s="2">
        <v>12</v>
      </c>
      <c r="D548" s="8" t="s">
        <v>1165</v>
      </c>
      <c r="E548" s="6" t="str">
        <f t="shared" si="16"/>
        <v>2026-01-23</v>
      </c>
      <c r="F548" s="2">
        <v>399</v>
      </c>
      <c r="G548" s="3" t="s">
        <v>78</v>
      </c>
      <c r="H548" s="3" t="s">
        <v>64</v>
      </c>
      <c r="I548" s="2">
        <v>69</v>
      </c>
      <c r="J548" s="6" t="str">
        <f>_xlfn.IFNA(VLOOKUP(C548,merchants!$A$1:$D$41,2,0),"Merchant not found")</f>
        <v>Merchant_012</v>
      </c>
      <c r="K548" s="6" t="str">
        <f>_xlfn.IFNA(VLOOKUP(C548,merchants!$A$1:$D$41,3,0),"Merchant not found")</f>
        <v>ecommerce</v>
      </c>
      <c r="L548" s="6" t="str">
        <f>_xlfn.IFNA(VLOOKUP(C548,merchants!$A$1:$D$41,4,0),"Merchant not found")</f>
        <v>East</v>
      </c>
      <c r="M548" s="9">
        <f t="shared" si="17"/>
        <v>7.9800000000000004</v>
      </c>
      <c r="N548" s="6" t="str">
        <f>IF(AND(L548&lt;&gt;"East",SUMIFS(merchant_workbook_pivot_table!$D$2:$D$444,merchant_workbook_pivot_table!$C$2:$C$444,E548,merchant_workbook_pivot_table!$B$2:$B$444,J548)&gt;5000),"High-Value Merchant Day",IF(AND(L548&lt;&gt;"East",SUMIFS(merchant_workbook_pivot_table!$D$2:$D$444,merchant_workbook_pivot_table!$C$2:$C$444,E548,merchant_workbook_pivot_table!$B$2:$B$444,J548)&gt;1000),"Mid-Value Merchant Day",""))</f>
        <v/>
      </c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autoFilter ref="A1:N548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0" zoomScale="100" workbookViewId="0">
      <selection activeCell="D3" activeCellId="0" sqref="D3"/>
    </sheetView>
  </sheetViews>
  <sheetFormatPr defaultColWidth="12.6640625" defaultRowHeight="15.75" customHeight="1"/>
  <cols>
    <col customWidth="1" min="2" max="2" width="14.21875"/>
  </cols>
  <sheetData>
    <row r="1" ht="13.199999999999999">
      <c r="A1" s="11"/>
      <c r="B1" s="14"/>
      <c r="C1" s="14"/>
      <c r="D1" s="12" t="s">
        <v>623</v>
      </c>
      <c r="E1" s="15"/>
    </row>
    <row r="2" ht="13.199999999999999">
      <c r="A2" s="12" t="s">
        <v>0</v>
      </c>
      <c r="B2" s="12" t="s">
        <v>1</v>
      </c>
      <c r="C2" s="12" t="s">
        <v>616</v>
      </c>
      <c r="D2" s="11" t="s">
        <v>1166</v>
      </c>
      <c r="E2" s="21" t="s">
        <v>1167</v>
      </c>
    </row>
    <row r="3" ht="13.199999999999999">
      <c r="A3" s="11">
        <v>1</v>
      </c>
      <c r="B3" s="11" t="s">
        <v>4</v>
      </c>
      <c r="C3" s="11" t="s">
        <v>1168</v>
      </c>
      <c r="D3" s="11">
        <v>1499</v>
      </c>
      <c r="E3" s="21">
        <v>1</v>
      </c>
    </row>
    <row r="4" ht="13.199999999999999">
      <c r="A4" s="17"/>
      <c r="B4" s="17" t="s">
        <v>4</v>
      </c>
      <c r="C4" s="22" t="s">
        <v>1169</v>
      </c>
      <c r="D4" s="22">
        <v>149</v>
      </c>
      <c r="E4" s="23">
        <v>1</v>
      </c>
    </row>
    <row r="5" ht="13.199999999999999">
      <c r="A5" s="17"/>
      <c r="B5" s="17" t="s">
        <v>4</v>
      </c>
      <c r="C5" s="22" t="s">
        <v>1170</v>
      </c>
      <c r="D5" s="22">
        <v>5048</v>
      </c>
      <c r="E5" s="23">
        <v>2</v>
      </c>
    </row>
    <row r="6" ht="13.199999999999999">
      <c r="A6" s="17"/>
      <c r="B6" s="17" t="s">
        <v>4</v>
      </c>
      <c r="C6" s="22" t="s">
        <v>1171</v>
      </c>
      <c r="D6" s="22">
        <v>299</v>
      </c>
      <c r="E6" s="23">
        <v>1</v>
      </c>
    </row>
    <row r="7" ht="13.199999999999999">
      <c r="A7" s="17"/>
      <c r="B7" s="17" t="s">
        <v>4</v>
      </c>
      <c r="C7" s="22" t="s">
        <v>1172</v>
      </c>
      <c r="D7" s="22">
        <v>149</v>
      </c>
      <c r="E7" s="23">
        <v>1</v>
      </c>
    </row>
    <row r="8" ht="13.199999999999999">
      <c r="A8" s="17"/>
      <c r="B8" s="17" t="s">
        <v>4</v>
      </c>
      <c r="C8" s="22" t="s">
        <v>1173</v>
      </c>
      <c r="D8" s="22">
        <v>149</v>
      </c>
      <c r="E8" s="23">
        <v>1</v>
      </c>
    </row>
    <row r="9" ht="13.199999999999999">
      <c r="A9" s="17"/>
      <c r="B9" s="17" t="s">
        <v>4</v>
      </c>
      <c r="C9" s="22" t="s">
        <v>1174</v>
      </c>
      <c r="D9" s="22">
        <v>3148</v>
      </c>
      <c r="E9" s="23">
        <v>2</v>
      </c>
    </row>
    <row r="10" ht="13.199999999999999">
      <c r="A10" s="11">
        <v>2</v>
      </c>
      <c r="B10" s="11" t="s">
        <v>7</v>
      </c>
      <c r="C10" s="11" t="s">
        <v>1175</v>
      </c>
      <c r="D10" s="11">
        <v>499</v>
      </c>
      <c r="E10" s="21">
        <v>1</v>
      </c>
    </row>
    <row r="11" ht="13.199999999999999">
      <c r="A11" s="17"/>
      <c r="B11" s="17" t="s">
        <v>7</v>
      </c>
      <c r="C11" s="22" t="s">
        <v>1176</v>
      </c>
      <c r="D11" s="22">
        <v>299</v>
      </c>
      <c r="E11" s="23">
        <v>1</v>
      </c>
    </row>
    <row r="12" ht="13.199999999999999">
      <c r="A12" s="17"/>
      <c r="B12" s="17" t="s">
        <v>7</v>
      </c>
      <c r="C12" s="22" t="s">
        <v>1172</v>
      </c>
      <c r="D12" s="22">
        <v>348</v>
      </c>
      <c r="E12" s="23">
        <v>2</v>
      </c>
    </row>
    <row r="13" ht="13.199999999999999">
      <c r="A13" s="17"/>
      <c r="B13" s="17" t="s">
        <v>7</v>
      </c>
      <c r="C13" s="22" t="s">
        <v>1177</v>
      </c>
      <c r="D13" s="22">
        <v>49</v>
      </c>
      <c r="E13" s="23">
        <v>1</v>
      </c>
    </row>
    <row r="14" ht="13.199999999999999">
      <c r="A14" s="17"/>
      <c r="B14" s="17" t="s">
        <v>7</v>
      </c>
      <c r="C14" s="22" t="s">
        <v>1178</v>
      </c>
      <c r="D14" s="22">
        <v>1499</v>
      </c>
      <c r="E14" s="23">
        <v>1</v>
      </c>
    </row>
    <row r="15" ht="13.199999999999999">
      <c r="A15" s="17"/>
      <c r="B15" s="17" t="s">
        <v>7</v>
      </c>
      <c r="C15" s="22" t="s">
        <v>1179</v>
      </c>
      <c r="D15" s="22">
        <v>49</v>
      </c>
      <c r="E15" s="23">
        <v>1</v>
      </c>
    </row>
    <row r="16" ht="13.199999999999999">
      <c r="A16" s="17"/>
      <c r="B16" s="17" t="s">
        <v>7</v>
      </c>
      <c r="C16" s="22" t="s">
        <v>1180</v>
      </c>
      <c r="D16" s="22">
        <v>299</v>
      </c>
      <c r="E16" s="23">
        <v>1</v>
      </c>
    </row>
    <row r="17" ht="13.199999999999999">
      <c r="A17" s="17"/>
      <c r="B17" s="17" t="s">
        <v>7</v>
      </c>
      <c r="C17" s="22" t="s">
        <v>1181</v>
      </c>
      <c r="D17" s="22">
        <v>299</v>
      </c>
      <c r="E17" s="23">
        <v>1</v>
      </c>
    </row>
    <row r="18" ht="13.199999999999999">
      <c r="A18" s="17"/>
      <c r="B18" s="17" t="s">
        <v>7</v>
      </c>
      <c r="C18" s="22" t="s">
        <v>1182</v>
      </c>
      <c r="D18" s="22">
        <v>299</v>
      </c>
      <c r="E18" s="23">
        <v>1</v>
      </c>
    </row>
    <row r="19" ht="13.199999999999999">
      <c r="A19" s="11">
        <v>3</v>
      </c>
      <c r="B19" s="11" t="s">
        <v>10</v>
      </c>
      <c r="C19" s="11" t="s">
        <v>1183</v>
      </c>
      <c r="D19" s="11">
        <v>198</v>
      </c>
      <c r="E19" s="21">
        <v>2</v>
      </c>
    </row>
    <row r="20" ht="13.199999999999999">
      <c r="A20" s="17"/>
      <c r="B20" s="17" t="s">
        <v>10</v>
      </c>
      <c r="C20" s="22" t="s">
        <v>1168</v>
      </c>
      <c r="D20" s="22">
        <v>99</v>
      </c>
      <c r="E20" s="23">
        <v>1</v>
      </c>
    </row>
    <row r="21" ht="13.199999999999999">
      <c r="A21" s="17"/>
      <c r="B21" s="17" t="s">
        <v>10</v>
      </c>
      <c r="C21" s="22" t="s">
        <v>1169</v>
      </c>
      <c r="D21" s="22">
        <v>898</v>
      </c>
      <c r="E21" s="23">
        <v>2</v>
      </c>
    </row>
    <row r="22" ht="13.199999999999999">
      <c r="A22" s="17"/>
      <c r="B22" s="17" t="s">
        <v>10</v>
      </c>
      <c r="C22" s="22" t="s">
        <v>1175</v>
      </c>
      <c r="D22" s="22">
        <v>798</v>
      </c>
      <c r="E22" s="23">
        <v>2</v>
      </c>
    </row>
    <row r="23" ht="13.199999999999999">
      <c r="A23" s="17"/>
      <c r="B23" s="17" t="s">
        <v>10</v>
      </c>
      <c r="C23" s="22" t="s">
        <v>1176</v>
      </c>
      <c r="D23" s="22">
        <v>149</v>
      </c>
      <c r="E23" s="23">
        <v>1</v>
      </c>
    </row>
    <row r="24" ht="13.199999999999999">
      <c r="A24" s="17"/>
      <c r="B24" s="17" t="s">
        <v>10</v>
      </c>
      <c r="C24" s="22" t="s">
        <v>1177</v>
      </c>
      <c r="D24" s="22">
        <v>198</v>
      </c>
      <c r="E24" s="23">
        <v>2</v>
      </c>
    </row>
    <row r="25" ht="13.199999999999999">
      <c r="A25" s="17"/>
      <c r="B25" s="17" t="s">
        <v>10</v>
      </c>
      <c r="C25" s="22" t="s">
        <v>1184</v>
      </c>
      <c r="D25" s="22">
        <v>4999</v>
      </c>
      <c r="E25" s="23">
        <v>1</v>
      </c>
    </row>
    <row r="26" ht="13.199999999999999">
      <c r="A26" s="17"/>
      <c r="B26" s="17" t="s">
        <v>10</v>
      </c>
      <c r="C26" s="22" t="s">
        <v>1185</v>
      </c>
      <c r="D26" s="22">
        <v>99</v>
      </c>
      <c r="E26" s="23">
        <v>1</v>
      </c>
    </row>
    <row r="27" ht="13.199999999999999">
      <c r="A27" s="17"/>
      <c r="B27" s="17" t="s">
        <v>10</v>
      </c>
      <c r="C27" s="22" t="s">
        <v>1180</v>
      </c>
      <c r="D27" s="22">
        <v>499</v>
      </c>
      <c r="E27" s="23">
        <v>1</v>
      </c>
    </row>
    <row r="28" ht="13.199999999999999">
      <c r="A28" s="17"/>
      <c r="B28" s="17" t="s">
        <v>10</v>
      </c>
      <c r="C28" s="22" t="s">
        <v>1174</v>
      </c>
      <c r="D28" s="22">
        <v>49</v>
      </c>
      <c r="E28" s="23">
        <v>1</v>
      </c>
    </row>
    <row r="29" ht="13.199999999999999">
      <c r="A29" s="17"/>
      <c r="B29" s="17" t="s">
        <v>10</v>
      </c>
      <c r="C29" s="22" t="s">
        <v>1181</v>
      </c>
      <c r="D29" s="22">
        <v>149</v>
      </c>
      <c r="E29" s="23">
        <v>1</v>
      </c>
    </row>
    <row r="30" ht="13.199999999999999">
      <c r="A30" s="17"/>
      <c r="B30" s="17" t="s">
        <v>10</v>
      </c>
      <c r="C30" s="22" t="s">
        <v>1186</v>
      </c>
      <c r="D30" s="22">
        <v>49</v>
      </c>
      <c r="E30" s="23">
        <v>1</v>
      </c>
    </row>
    <row r="31" ht="13.199999999999999">
      <c r="A31" s="17"/>
      <c r="B31" s="17" t="s">
        <v>10</v>
      </c>
      <c r="C31" s="22" t="s">
        <v>1182</v>
      </c>
      <c r="D31" s="22">
        <v>49</v>
      </c>
      <c r="E31" s="23">
        <v>1</v>
      </c>
    </row>
    <row r="32" ht="13.199999999999999">
      <c r="A32" s="11">
        <v>4</v>
      </c>
      <c r="B32" s="11" t="s">
        <v>12</v>
      </c>
      <c r="C32" s="11" t="s">
        <v>1187</v>
      </c>
      <c r="D32" s="11">
        <v>149</v>
      </c>
      <c r="E32" s="21">
        <v>1</v>
      </c>
    </row>
    <row r="33" ht="13.199999999999999">
      <c r="A33" s="17"/>
      <c r="B33" s="17" t="s">
        <v>12</v>
      </c>
      <c r="C33" s="22" t="s">
        <v>1172</v>
      </c>
      <c r="D33" s="22">
        <v>49</v>
      </c>
      <c r="E33" s="23">
        <v>1</v>
      </c>
    </row>
    <row r="34" ht="13.199999999999999">
      <c r="A34" s="17"/>
      <c r="B34" s="17" t="s">
        <v>12</v>
      </c>
      <c r="C34" s="22" t="s">
        <v>1177</v>
      </c>
      <c r="D34" s="22">
        <v>948</v>
      </c>
      <c r="E34" s="23">
        <v>2</v>
      </c>
    </row>
    <row r="35" ht="13.199999999999999">
      <c r="A35" s="17"/>
      <c r="B35" s="17" t="s">
        <v>12</v>
      </c>
      <c r="C35" s="22" t="s">
        <v>1184</v>
      </c>
      <c r="D35" s="22">
        <v>799</v>
      </c>
      <c r="E35" s="23">
        <v>1</v>
      </c>
    </row>
    <row r="36" ht="13.199999999999999">
      <c r="A36" s="17"/>
      <c r="B36" s="17" t="s">
        <v>12</v>
      </c>
      <c r="C36" s="22" t="s">
        <v>1173</v>
      </c>
      <c r="D36" s="22">
        <v>1499</v>
      </c>
      <c r="E36" s="23">
        <v>1</v>
      </c>
    </row>
    <row r="37" ht="13.199999999999999">
      <c r="A37" s="17"/>
      <c r="B37" s="17" t="s">
        <v>12</v>
      </c>
      <c r="C37" s="22" t="s">
        <v>1188</v>
      </c>
      <c r="D37" s="22">
        <v>1499</v>
      </c>
      <c r="E37" s="23">
        <v>1</v>
      </c>
    </row>
    <row r="38" ht="13.199999999999999">
      <c r="A38" s="17"/>
      <c r="B38" s="17" t="s">
        <v>12</v>
      </c>
      <c r="C38" s="22" t="s">
        <v>1189</v>
      </c>
      <c r="D38" s="22">
        <v>1998</v>
      </c>
      <c r="E38" s="23">
        <v>2</v>
      </c>
    </row>
    <row r="39" ht="13.199999999999999">
      <c r="A39" s="11">
        <v>5</v>
      </c>
      <c r="B39" s="11" t="s">
        <v>13</v>
      </c>
      <c r="C39" s="11" t="s">
        <v>1190</v>
      </c>
      <c r="D39" s="11">
        <v>499</v>
      </c>
      <c r="E39" s="21">
        <v>1</v>
      </c>
    </row>
    <row r="40" ht="13.199999999999999">
      <c r="A40" s="17"/>
      <c r="B40" s="17" t="s">
        <v>13</v>
      </c>
      <c r="C40" s="22" t="s">
        <v>1183</v>
      </c>
      <c r="D40" s="22">
        <v>499</v>
      </c>
      <c r="E40" s="23">
        <v>1</v>
      </c>
    </row>
    <row r="41" ht="13.199999999999999">
      <c r="A41" s="17"/>
      <c r="B41" s="17" t="s">
        <v>13</v>
      </c>
      <c r="C41" s="22" t="s">
        <v>1170</v>
      </c>
      <c r="D41" s="22">
        <v>348</v>
      </c>
      <c r="E41" s="23">
        <v>2</v>
      </c>
    </row>
    <row r="42" ht="13.199999999999999">
      <c r="A42" s="17"/>
      <c r="B42" s="17" t="s">
        <v>13</v>
      </c>
      <c r="C42" s="22" t="s">
        <v>1191</v>
      </c>
      <c r="D42" s="22">
        <v>99</v>
      </c>
      <c r="E42" s="23">
        <v>1</v>
      </c>
    </row>
    <row r="43" ht="13.199999999999999">
      <c r="A43" s="17"/>
      <c r="B43" s="17" t="s">
        <v>13</v>
      </c>
      <c r="C43" s="22" t="s">
        <v>1178</v>
      </c>
      <c r="D43" s="22">
        <v>548</v>
      </c>
      <c r="E43" s="23">
        <v>2</v>
      </c>
    </row>
    <row r="44" ht="13.199999999999999">
      <c r="A44" s="17"/>
      <c r="B44" s="17" t="s">
        <v>13</v>
      </c>
      <c r="C44" s="22" t="s">
        <v>1173</v>
      </c>
      <c r="D44" s="22">
        <v>499</v>
      </c>
      <c r="E44" s="23">
        <v>1</v>
      </c>
    </row>
    <row r="45" ht="13.199999999999999">
      <c r="A45" s="17"/>
      <c r="B45" s="17" t="s">
        <v>13</v>
      </c>
      <c r="C45" s="22" t="s">
        <v>1192</v>
      </c>
      <c r="D45" s="22">
        <v>299</v>
      </c>
      <c r="E45" s="23">
        <v>1</v>
      </c>
    </row>
    <row r="46" ht="13.199999999999999">
      <c r="A46" s="17"/>
      <c r="B46" s="17" t="s">
        <v>13</v>
      </c>
      <c r="C46" s="22" t="s">
        <v>1179</v>
      </c>
      <c r="D46" s="22">
        <v>49</v>
      </c>
      <c r="E46" s="23">
        <v>1</v>
      </c>
    </row>
    <row r="47" ht="13.199999999999999">
      <c r="A47" s="17"/>
      <c r="B47" s="17" t="s">
        <v>13</v>
      </c>
      <c r="C47" s="22" t="s">
        <v>1182</v>
      </c>
      <c r="D47" s="22">
        <v>2999</v>
      </c>
      <c r="E47" s="23">
        <v>1</v>
      </c>
    </row>
    <row r="48" ht="13.199999999999999">
      <c r="A48" s="11">
        <v>6</v>
      </c>
      <c r="B48" s="11" t="s">
        <v>15</v>
      </c>
      <c r="C48" s="11" t="s">
        <v>1190</v>
      </c>
      <c r="D48" s="11">
        <v>49</v>
      </c>
      <c r="E48" s="21">
        <v>1</v>
      </c>
    </row>
    <row r="49" ht="13.199999999999999">
      <c r="A49" s="17"/>
      <c r="B49" s="17" t="s">
        <v>15</v>
      </c>
      <c r="C49" s="22" t="s">
        <v>1183</v>
      </c>
      <c r="D49" s="22">
        <v>799</v>
      </c>
      <c r="E49" s="23">
        <v>1</v>
      </c>
    </row>
    <row r="50" ht="13.199999999999999">
      <c r="A50" s="17"/>
      <c r="B50" s="17" t="s">
        <v>15</v>
      </c>
      <c r="C50" s="22" t="s">
        <v>1168</v>
      </c>
      <c r="D50" s="22">
        <v>1499</v>
      </c>
      <c r="E50" s="23">
        <v>1</v>
      </c>
    </row>
    <row r="51" ht="13.199999999999999">
      <c r="A51" s="17"/>
      <c r="B51" s="17" t="s">
        <v>15</v>
      </c>
      <c r="C51" s="22" t="s">
        <v>1176</v>
      </c>
      <c r="D51" s="22">
        <v>149</v>
      </c>
      <c r="E51" s="23">
        <v>1</v>
      </c>
    </row>
    <row r="52" ht="13.199999999999999">
      <c r="A52" s="17"/>
      <c r="B52" s="17" t="s">
        <v>15</v>
      </c>
      <c r="C52" s="22" t="s">
        <v>1170</v>
      </c>
      <c r="D52" s="22">
        <v>99</v>
      </c>
      <c r="E52" s="23">
        <v>1</v>
      </c>
    </row>
    <row r="53" ht="13.199999999999999">
      <c r="A53" s="17"/>
      <c r="B53" s="17" t="s">
        <v>15</v>
      </c>
      <c r="C53" s="22" t="s">
        <v>1171</v>
      </c>
      <c r="D53" s="22">
        <v>1499</v>
      </c>
      <c r="E53" s="23">
        <v>1</v>
      </c>
    </row>
    <row r="54" ht="13.199999999999999">
      <c r="A54" s="17"/>
      <c r="B54" s="17" t="s">
        <v>15</v>
      </c>
      <c r="C54" s="22" t="s">
        <v>1177</v>
      </c>
      <c r="D54" s="22">
        <v>1499</v>
      </c>
      <c r="E54" s="23">
        <v>1</v>
      </c>
    </row>
    <row r="55" ht="13.199999999999999">
      <c r="A55" s="17"/>
      <c r="B55" s="17" t="s">
        <v>15</v>
      </c>
      <c r="C55" s="22" t="s">
        <v>1178</v>
      </c>
      <c r="D55" s="22">
        <v>49</v>
      </c>
      <c r="E55" s="23">
        <v>1</v>
      </c>
    </row>
    <row r="56" ht="13.199999999999999">
      <c r="A56" s="17"/>
      <c r="B56" s="17" t="s">
        <v>15</v>
      </c>
      <c r="C56" s="22" t="s">
        <v>1173</v>
      </c>
      <c r="D56" s="22">
        <v>799</v>
      </c>
      <c r="E56" s="23">
        <v>1</v>
      </c>
    </row>
    <row r="57" ht="13.199999999999999">
      <c r="A57" s="17"/>
      <c r="B57" s="17" t="s">
        <v>15</v>
      </c>
      <c r="C57" s="22" t="s">
        <v>1179</v>
      </c>
      <c r="D57" s="22">
        <v>49</v>
      </c>
      <c r="E57" s="23">
        <v>1</v>
      </c>
    </row>
    <row r="58" ht="13.199999999999999">
      <c r="A58" s="17"/>
      <c r="B58" s="17" t="s">
        <v>15</v>
      </c>
      <c r="C58" s="22" t="s">
        <v>1193</v>
      </c>
      <c r="D58" s="22">
        <v>49</v>
      </c>
      <c r="E58" s="23">
        <v>1</v>
      </c>
    </row>
    <row r="59" ht="13.199999999999999">
      <c r="A59" s="17"/>
      <c r="B59" s="17" t="s">
        <v>15</v>
      </c>
      <c r="C59" s="22" t="s">
        <v>1181</v>
      </c>
      <c r="D59" s="22">
        <v>897</v>
      </c>
      <c r="E59" s="23">
        <v>3</v>
      </c>
    </row>
    <row r="60" ht="13.199999999999999">
      <c r="A60" s="11">
        <v>7</v>
      </c>
      <c r="B60" s="11" t="s">
        <v>17</v>
      </c>
      <c r="C60" s="11" t="s">
        <v>1187</v>
      </c>
      <c r="D60" s="11">
        <v>3797</v>
      </c>
      <c r="E60" s="21">
        <v>3</v>
      </c>
    </row>
    <row r="61" ht="13.199999999999999">
      <c r="A61" s="17"/>
      <c r="B61" s="17" t="s">
        <v>17</v>
      </c>
      <c r="C61" s="22" t="s">
        <v>1183</v>
      </c>
      <c r="D61" s="22">
        <v>149</v>
      </c>
      <c r="E61" s="23">
        <v>1</v>
      </c>
    </row>
    <row r="62" ht="13.199999999999999">
      <c r="A62" s="17"/>
      <c r="B62" s="17" t="s">
        <v>17</v>
      </c>
      <c r="C62" s="22" t="s">
        <v>1168</v>
      </c>
      <c r="D62" s="22">
        <v>4498</v>
      </c>
      <c r="E62" s="23">
        <v>2</v>
      </c>
    </row>
    <row r="63" ht="13.199999999999999">
      <c r="A63" s="17"/>
      <c r="B63" s="17" t="s">
        <v>17</v>
      </c>
      <c r="C63" s="22" t="s">
        <v>1176</v>
      </c>
      <c r="D63" s="22">
        <v>299</v>
      </c>
      <c r="E63" s="23">
        <v>1</v>
      </c>
    </row>
    <row r="64" ht="13.199999999999999">
      <c r="A64" s="17"/>
      <c r="B64" s="17" t="s">
        <v>17</v>
      </c>
      <c r="C64" s="22" t="s">
        <v>1191</v>
      </c>
      <c r="D64" s="22">
        <v>499</v>
      </c>
      <c r="E64" s="23">
        <v>1</v>
      </c>
    </row>
    <row r="65" ht="13.199999999999999">
      <c r="A65" s="17"/>
      <c r="B65" s="17" t="s">
        <v>17</v>
      </c>
      <c r="C65" s="22" t="s">
        <v>1178</v>
      </c>
      <c r="D65" s="22">
        <v>1648</v>
      </c>
      <c r="E65" s="23">
        <v>2</v>
      </c>
    </row>
    <row r="66" ht="13.199999999999999">
      <c r="A66" s="17"/>
      <c r="B66" s="17" t="s">
        <v>17</v>
      </c>
      <c r="C66" s="22" t="s">
        <v>1173</v>
      </c>
      <c r="D66" s="22">
        <v>149</v>
      </c>
      <c r="E66" s="23">
        <v>1</v>
      </c>
    </row>
    <row r="67" ht="13.199999999999999">
      <c r="A67" s="17"/>
      <c r="B67" s="17" t="s">
        <v>17</v>
      </c>
      <c r="C67" s="22" t="s">
        <v>1193</v>
      </c>
      <c r="D67" s="22">
        <v>1499</v>
      </c>
      <c r="E67" s="23">
        <v>1</v>
      </c>
    </row>
    <row r="68" ht="13.199999999999999">
      <c r="A68" s="17"/>
      <c r="B68" s="17" t="s">
        <v>17</v>
      </c>
      <c r="C68" s="22" t="s">
        <v>1188</v>
      </c>
      <c r="D68" s="22">
        <v>1298</v>
      </c>
      <c r="E68" s="23">
        <v>2</v>
      </c>
    </row>
    <row r="69" ht="13.199999999999999">
      <c r="A69" s="17"/>
      <c r="B69" s="17" t="s">
        <v>17</v>
      </c>
      <c r="C69" s="22" t="s">
        <v>1189</v>
      </c>
      <c r="D69" s="22">
        <v>99</v>
      </c>
      <c r="E69" s="23">
        <v>1</v>
      </c>
    </row>
    <row r="70" ht="13.199999999999999">
      <c r="A70" s="17"/>
      <c r="B70" s="17" t="s">
        <v>17</v>
      </c>
      <c r="C70" s="22" t="s">
        <v>1182</v>
      </c>
      <c r="D70" s="22">
        <v>1999</v>
      </c>
      <c r="E70" s="23">
        <v>1</v>
      </c>
    </row>
    <row r="71" ht="13.199999999999999">
      <c r="A71" s="11">
        <v>8</v>
      </c>
      <c r="B71" s="11" t="s">
        <v>18</v>
      </c>
      <c r="C71" s="11" t="s">
        <v>1187</v>
      </c>
      <c r="D71" s="11">
        <v>299</v>
      </c>
      <c r="E71" s="21">
        <v>1</v>
      </c>
    </row>
    <row r="72" ht="13.199999999999999">
      <c r="A72" s="17"/>
      <c r="B72" s="17" t="s">
        <v>18</v>
      </c>
      <c r="C72" s="22" t="s">
        <v>1183</v>
      </c>
      <c r="D72" s="22">
        <v>299</v>
      </c>
      <c r="E72" s="23">
        <v>1</v>
      </c>
    </row>
    <row r="73" ht="13.199999999999999">
      <c r="A73" s="17"/>
      <c r="B73" s="17" t="s">
        <v>18</v>
      </c>
      <c r="C73" s="22" t="s">
        <v>1169</v>
      </c>
      <c r="D73" s="22">
        <v>49</v>
      </c>
      <c r="E73" s="23">
        <v>1</v>
      </c>
    </row>
    <row r="74" ht="13.199999999999999">
      <c r="A74" s="17"/>
      <c r="B74" s="17" t="s">
        <v>18</v>
      </c>
      <c r="C74" s="22" t="s">
        <v>1176</v>
      </c>
      <c r="D74" s="22">
        <v>99</v>
      </c>
      <c r="E74" s="23">
        <v>1</v>
      </c>
    </row>
    <row r="75" ht="13.199999999999999">
      <c r="A75" s="17"/>
      <c r="B75" s="17" t="s">
        <v>18</v>
      </c>
      <c r="C75" s="22" t="s">
        <v>1171</v>
      </c>
      <c r="D75" s="22">
        <v>149</v>
      </c>
      <c r="E75" s="23">
        <v>1</v>
      </c>
    </row>
    <row r="76" ht="13.199999999999999">
      <c r="A76" s="17"/>
      <c r="B76" s="17" t="s">
        <v>18</v>
      </c>
      <c r="C76" s="22" t="s">
        <v>1172</v>
      </c>
      <c r="D76" s="22">
        <v>398</v>
      </c>
      <c r="E76" s="23">
        <v>2</v>
      </c>
    </row>
    <row r="77" ht="13.199999999999999">
      <c r="A77" s="17"/>
      <c r="B77" s="17" t="s">
        <v>18</v>
      </c>
      <c r="C77" s="22" t="s">
        <v>1184</v>
      </c>
      <c r="D77" s="22">
        <v>2999</v>
      </c>
      <c r="E77" s="23">
        <v>1</v>
      </c>
    </row>
    <row r="78" ht="13.199999999999999">
      <c r="A78" s="17"/>
      <c r="B78" s="17" t="s">
        <v>18</v>
      </c>
      <c r="C78" s="22" t="s">
        <v>1173</v>
      </c>
      <c r="D78" s="22">
        <v>348</v>
      </c>
      <c r="E78" s="23">
        <v>2</v>
      </c>
    </row>
    <row r="79" ht="13.199999999999999">
      <c r="A79" s="17"/>
      <c r="B79" s="17" t="s">
        <v>18</v>
      </c>
      <c r="C79" s="22" t="s">
        <v>1192</v>
      </c>
      <c r="D79" s="22">
        <v>499</v>
      </c>
      <c r="E79" s="23">
        <v>1</v>
      </c>
    </row>
    <row r="80" ht="13.199999999999999">
      <c r="A80" s="17"/>
      <c r="B80" s="17" t="s">
        <v>18</v>
      </c>
      <c r="C80" s="22" t="s">
        <v>1179</v>
      </c>
      <c r="D80" s="22">
        <v>99</v>
      </c>
      <c r="E80" s="23">
        <v>1</v>
      </c>
    </row>
    <row r="81" ht="13.199999999999999">
      <c r="A81" s="17"/>
      <c r="B81" s="17" t="s">
        <v>18</v>
      </c>
      <c r="C81" s="22" t="s">
        <v>1181</v>
      </c>
      <c r="D81" s="22">
        <v>598</v>
      </c>
      <c r="E81" s="23">
        <v>2</v>
      </c>
    </row>
    <row r="82" ht="13.199999999999999">
      <c r="A82" s="17"/>
      <c r="B82" s="17" t="s">
        <v>18</v>
      </c>
      <c r="C82" s="22" t="s">
        <v>1194</v>
      </c>
      <c r="D82" s="22">
        <v>1499</v>
      </c>
      <c r="E82" s="23">
        <v>1</v>
      </c>
    </row>
    <row r="83" ht="13.199999999999999">
      <c r="A83" s="17"/>
      <c r="B83" s="17" t="s">
        <v>18</v>
      </c>
      <c r="C83" s="22" t="s">
        <v>1182</v>
      </c>
      <c r="D83" s="22">
        <v>99</v>
      </c>
      <c r="E83" s="23">
        <v>1</v>
      </c>
    </row>
    <row r="84" ht="13.199999999999999">
      <c r="A84" s="11">
        <v>9</v>
      </c>
      <c r="B84" s="11" t="s">
        <v>20</v>
      </c>
      <c r="C84" s="11" t="s">
        <v>1190</v>
      </c>
      <c r="D84" s="11">
        <v>499</v>
      </c>
      <c r="E84" s="21">
        <v>1</v>
      </c>
    </row>
    <row r="85" ht="13.199999999999999">
      <c r="A85" s="17"/>
      <c r="B85" s="17" t="s">
        <v>20</v>
      </c>
      <c r="C85" s="22" t="s">
        <v>1195</v>
      </c>
      <c r="D85" s="22">
        <v>499</v>
      </c>
      <c r="E85" s="23">
        <v>1</v>
      </c>
    </row>
    <row r="86" ht="13.199999999999999">
      <c r="A86" s="17"/>
      <c r="B86" s="17" t="s">
        <v>20</v>
      </c>
      <c r="C86" s="22" t="s">
        <v>1168</v>
      </c>
      <c r="D86" s="22">
        <v>149</v>
      </c>
      <c r="E86" s="23">
        <v>1</v>
      </c>
    </row>
    <row r="87" ht="13.199999999999999">
      <c r="A87" s="17"/>
      <c r="B87" s="17" t="s">
        <v>20</v>
      </c>
      <c r="C87" s="22" t="s">
        <v>1169</v>
      </c>
      <c r="D87" s="22">
        <v>149</v>
      </c>
      <c r="E87" s="23">
        <v>1</v>
      </c>
    </row>
    <row r="88" ht="13.199999999999999">
      <c r="A88" s="17"/>
      <c r="B88" s="17" t="s">
        <v>20</v>
      </c>
      <c r="C88" s="22" t="s">
        <v>1170</v>
      </c>
      <c r="D88" s="22">
        <v>99</v>
      </c>
      <c r="E88" s="23">
        <v>1</v>
      </c>
    </row>
    <row r="89" ht="13.199999999999999">
      <c r="A89" s="17"/>
      <c r="B89" s="17" t="s">
        <v>20</v>
      </c>
      <c r="C89" s="22" t="s">
        <v>1191</v>
      </c>
      <c r="D89" s="22">
        <v>49</v>
      </c>
      <c r="E89" s="23">
        <v>1</v>
      </c>
    </row>
    <row r="90" ht="13.199999999999999">
      <c r="A90" s="17"/>
      <c r="B90" s="17" t="s">
        <v>20</v>
      </c>
      <c r="C90" s="22" t="s">
        <v>1172</v>
      </c>
      <c r="D90" s="22">
        <v>299</v>
      </c>
      <c r="E90" s="23">
        <v>1</v>
      </c>
    </row>
    <row r="91" ht="13.199999999999999">
      <c r="A91" s="17"/>
      <c r="B91" s="17" t="s">
        <v>20</v>
      </c>
      <c r="C91" s="22" t="s">
        <v>1178</v>
      </c>
      <c r="D91" s="22">
        <v>148</v>
      </c>
      <c r="E91" s="23">
        <v>2</v>
      </c>
    </row>
    <row r="92" ht="13.199999999999999">
      <c r="A92" s="17"/>
      <c r="B92" s="17" t="s">
        <v>20</v>
      </c>
      <c r="C92" s="22" t="s">
        <v>1173</v>
      </c>
      <c r="D92" s="22">
        <v>248</v>
      </c>
      <c r="E92" s="23">
        <v>2</v>
      </c>
    </row>
    <row r="93" ht="13.199999999999999">
      <c r="A93" s="17"/>
      <c r="B93" s="17" t="s">
        <v>20</v>
      </c>
      <c r="C93" s="22" t="s">
        <v>1192</v>
      </c>
      <c r="D93" s="22">
        <v>299</v>
      </c>
      <c r="E93" s="23">
        <v>1</v>
      </c>
    </row>
    <row r="94" ht="13.199999999999999">
      <c r="A94" s="17"/>
      <c r="B94" s="17" t="s">
        <v>20</v>
      </c>
      <c r="C94" s="22" t="s">
        <v>1179</v>
      </c>
      <c r="D94" s="22">
        <v>299</v>
      </c>
      <c r="E94" s="23">
        <v>1</v>
      </c>
    </row>
    <row r="95" ht="13.199999999999999">
      <c r="A95" s="17"/>
      <c r="B95" s="17" t="s">
        <v>20</v>
      </c>
      <c r="C95" s="22" t="s">
        <v>1180</v>
      </c>
      <c r="D95" s="22">
        <v>1298</v>
      </c>
      <c r="E95" s="23">
        <v>2</v>
      </c>
    </row>
    <row r="96" ht="13.199999999999999">
      <c r="A96" s="17"/>
      <c r="B96" s="17" t="s">
        <v>20</v>
      </c>
      <c r="C96" s="22" t="s">
        <v>1174</v>
      </c>
      <c r="D96" s="22">
        <v>898</v>
      </c>
      <c r="E96" s="23">
        <v>2</v>
      </c>
    </row>
    <row r="97" ht="13.199999999999999">
      <c r="A97" s="17"/>
      <c r="B97" s="17" t="s">
        <v>20</v>
      </c>
      <c r="C97" s="22" t="s">
        <v>1186</v>
      </c>
      <c r="D97" s="22">
        <v>49</v>
      </c>
      <c r="E97" s="23">
        <v>1</v>
      </c>
    </row>
    <row r="98" ht="13.199999999999999">
      <c r="A98" s="11">
        <v>10</v>
      </c>
      <c r="B98" s="11" t="s">
        <v>21</v>
      </c>
      <c r="C98" s="11" t="s">
        <v>1168</v>
      </c>
      <c r="D98" s="11">
        <v>49</v>
      </c>
      <c r="E98" s="21">
        <v>1</v>
      </c>
    </row>
    <row r="99" ht="13.199999999999999">
      <c r="A99" s="17"/>
      <c r="B99" s="17" t="s">
        <v>21</v>
      </c>
      <c r="C99" s="22" t="s">
        <v>1176</v>
      </c>
      <c r="D99" s="22">
        <v>799</v>
      </c>
      <c r="E99" s="23">
        <v>1</v>
      </c>
    </row>
    <row r="100" ht="13.199999999999999">
      <c r="A100" s="17"/>
      <c r="B100" s="17" t="s">
        <v>21</v>
      </c>
      <c r="C100" s="22" t="s">
        <v>1171</v>
      </c>
      <c r="D100" s="22">
        <v>98</v>
      </c>
      <c r="E100" s="23">
        <v>2</v>
      </c>
    </row>
    <row r="101" ht="13.199999999999999">
      <c r="A101" s="17"/>
      <c r="B101" s="17" t="s">
        <v>21</v>
      </c>
      <c r="C101" s="22" t="s">
        <v>1172</v>
      </c>
      <c r="D101" s="22">
        <v>399</v>
      </c>
      <c r="E101" s="23">
        <v>1</v>
      </c>
    </row>
    <row r="102" ht="13.199999999999999">
      <c r="A102" s="17"/>
      <c r="B102" s="17" t="s">
        <v>21</v>
      </c>
      <c r="C102" s="22" t="s">
        <v>1177</v>
      </c>
      <c r="D102" s="22">
        <v>1499</v>
      </c>
      <c r="E102" s="23">
        <v>1</v>
      </c>
    </row>
    <row r="103" ht="13.199999999999999">
      <c r="A103" s="17"/>
      <c r="B103" s="17" t="s">
        <v>21</v>
      </c>
      <c r="C103" s="22" t="s">
        <v>1196</v>
      </c>
      <c r="D103" s="22">
        <v>499</v>
      </c>
      <c r="E103" s="23">
        <v>1</v>
      </c>
    </row>
    <row r="104" ht="13.199999999999999">
      <c r="A104" s="17"/>
      <c r="B104" s="17" t="s">
        <v>21</v>
      </c>
      <c r="C104" s="22" t="s">
        <v>1178</v>
      </c>
      <c r="D104" s="22">
        <v>2999</v>
      </c>
      <c r="E104" s="23">
        <v>1</v>
      </c>
    </row>
    <row r="105" ht="13.199999999999999">
      <c r="A105" s="17"/>
      <c r="B105" s="17" t="s">
        <v>21</v>
      </c>
      <c r="C105" s="22" t="s">
        <v>1184</v>
      </c>
      <c r="D105" s="22">
        <v>49</v>
      </c>
      <c r="E105" s="23">
        <v>1</v>
      </c>
    </row>
    <row r="106" ht="13.199999999999999">
      <c r="A106" s="17"/>
      <c r="B106" s="17" t="s">
        <v>21</v>
      </c>
      <c r="C106" s="22" t="s">
        <v>1179</v>
      </c>
      <c r="D106" s="22">
        <v>499</v>
      </c>
      <c r="E106" s="23">
        <v>1</v>
      </c>
    </row>
    <row r="107" ht="13.199999999999999">
      <c r="A107" s="17"/>
      <c r="B107" s="17" t="s">
        <v>21</v>
      </c>
      <c r="C107" s="22" t="s">
        <v>1185</v>
      </c>
      <c r="D107" s="22">
        <v>4999</v>
      </c>
      <c r="E107" s="23">
        <v>1</v>
      </c>
    </row>
    <row r="108" ht="13.199999999999999">
      <c r="A108" s="17"/>
      <c r="B108" s="17" t="s">
        <v>21</v>
      </c>
      <c r="C108" s="22" t="s">
        <v>1193</v>
      </c>
      <c r="D108" s="22">
        <v>398</v>
      </c>
      <c r="E108" s="23">
        <v>2</v>
      </c>
    </row>
    <row r="109" ht="13.199999999999999">
      <c r="A109" s="17"/>
      <c r="B109" s="17" t="s">
        <v>21</v>
      </c>
      <c r="C109" s="22" t="s">
        <v>1186</v>
      </c>
      <c r="D109" s="22">
        <v>799</v>
      </c>
      <c r="E109" s="23">
        <v>1</v>
      </c>
    </row>
    <row r="110" ht="13.199999999999999">
      <c r="A110" s="11">
        <v>11</v>
      </c>
      <c r="B110" s="11" t="s">
        <v>22</v>
      </c>
      <c r="C110" s="11" t="s">
        <v>1195</v>
      </c>
      <c r="D110" s="11">
        <v>1499</v>
      </c>
      <c r="E110" s="21">
        <v>1</v>
      </c>
    </row>
    <row r="111" ht="13.199999999999999">
      <c r="A111" s="17"/>
      <c r="B111" s="17" t="s">
        <v>22</v>
      </c>
      <c r="C111" s="22" t="s">
        <v>1169</v>
      </c>
      <c r="D111" s="22">
        <v>1499</v>
      </c>
      <c r="E111" s="23">
        <v>1</v>
      </c>
    </row>
    <row r="112" ht="13.199999999999999">
      <c r="A112" s="17"/>
      <c r="B112" s="17" t="s">
        <v>22</v>
      </c>
      <c r="C112" s="22" t="s">
        <v>1175</v>
      </c>
      <c r="D112" s="22">
        <v>49</v>
      </c>
      <c r="E112" s="23">
        <v>1</v>
      </c>
    </row>
    <row r="113" ht="13.199999999999999">
      <c r="A113" s="17"/>
      <c r="B113" s="17" t="s">
        <v>22</v>
      </c>
      <c r="C113" s="22" t="s">
        <v>1171</v>
      </c>
      <c r="D113" s="22">
        <v>4999</v>
      </c>
      <c r="E113" s="23">
        <v>1</v>
      </c>
    </row>
    <row r="114" ht="13.199999999999999">
      <c r="A114" s="17"/>
      <c r="B114" s="17" t="s">
        <v>22</v>
      </c>
      <c r="C114" s="22" t="s">
        <v>1192</v>
      </c>
      <c r="D114" s="22">
        <v>499</v>
      </c>
      <c r="E114" s="23">
        <v>1</v>
      </c>
    </row>
    <row r="115" ht="13.199999999999999">
      <c r="A115" s="17"/>
      <c r="B115" s="17" t="s">
        <v>22</v>
      </c>
      <c r="C115" s="22" t="s">
        <v>1185</v>
      </c>
      <c r="D115" s="22">
        <v>299</v>
      </c>
      <c r="E115" s="23">
        <v>1</v>
      </c>
    </row>
    <row r="116" ht="13.199999999999999">
      <c r="A116" s="17"/>
      <c r="B116" s="17" t="s">
        <v>22</v>
      </c>
      <c r="C116" s="22" t="s">
        <v>1193</v>
      </c>
      <c r="D116" s="22">
        <v>149</v>
      </c>
      <c r="E116" s="23">
        <v>1</v>
      </c>
    </row>
    <row r="117" ht="13.199999999999999">
      <c r="A117" s="17"/>
      <c r="B117" s="17" t="s">
        <v>22</v>
      </c>
      <c r="C117" s="22" t="s">
        <v>1188</v>
      </c>
      <c r="D117" s="22">
        <v>1798</v>
      </c>
      <c r="E117" s="23">
        <v>2</v>
      </c>
    </row>
    <row r="118" ht="13.199999999999999">
      <c r="A118" s="17"/>
      <c r="B118" s="17" t="s">
        <v>22</v>
      </c>
      <c r="C118" s="22" t="s">
        <v>1186</v>
      </c>
      <c r="D118" s="22">
        <v>149</v>
      </c>
      <c r="E118" s="23">
        <v>1</v>
      </c>
    </row>
    <row r="119" ht="13.199999999999999">
      <c r="A119" s="11">
        <v>12</v>
      </c>
      <c r="B119" s="11" t="s">
        <v>23</v>
      </c>
      <c r="C119" s="11" t="s">
        <v>1190</v>
      </c>
      <c r="D119" s="11">
        <v>548</v>
      </c>
      <c r="E119" s="21">
        <v>2</v>
      </c>
    </row>
    <row r="120" ht="13.199999999999999">
      <c r="A120" s="17"/>
      <c r="B120" s="17" t="s">
        <v>23</v>
      </c>
      <c r="C120" s="22" t="s">
        <v>1170</v>
      </c>
      <c r="D120" s="22">
        <v>799</v>
      </c>
      <c r="E120" s="23">
        <v>1</v>
      </c>
    </row>
    <row r="121" ht="13.199999999999999">
      <c r="A121" s="17"/>
      <c r="B121" s="17" t="s">
        <v>23</v>
      </c>
      <c r="C121" s="22" t="s">
        <v>1172</v>
      </c>
      <c r="D121" s="22">
        <v>1998</v>
      </c>
      <c r="E121" s="23">
        <v>2</v>
      </c>
    </row>
    <row r="122" ht="13.199999999999999">
      <c r="A122" s="17"/>
      <c r="B122" s="17" t="s">
        <v>23</v>
      </c>
      <c r="C122" s="22" t="s">
        <v>1196</v>
      </c>
      <c r="D122" s="22">
        <v>548</v>
      </c>
      <c r="E122" s="23">
        <v>2</v>
      </c>
    </row>
    <row r="123" ht="13.199999999999999">
      <c r="A123" s="17"/>
      <c r="B123" s="17" t="s">
        <v>23</v>
      </c>
      <c r="C123" s="22" t="s">
        <v>1192</v>
      </c>
      <c r="D123" s="22">
        <v>799</v>
      </c>
      <c r="E123" s="23">
        <v>1</v>
      </c>
    </row>
    <row r="124" ht="13.199999999999999">
      <c r="A124" s="17"/>
      <c r="B124" s="17" t="s">
        <v>23</v>
      </c>
      <c r="C124" s="22" t="s">
        <v>1180</v>
      </c>
      <c r="D124" s="22">
        <v>99</v>
      </c>
      <c r="E124" s="23">
        <v>1</v>
      </c>
    </row>
    <row r="125" ht="13.199999999999999">
      <c r="A125" s="17"/>
      <c r="B125" s="17" t="s">
        <v>23</v>
      </c>
      <c r="C125" s="22" t="s">
        <v>1174</v>
      </c>
      <c r="D125" s="22">
        <v>448</v>
      </c>
      <c r="E125" s="23">
        <v>2</v>
      </c>
    </row>
    <row r="126" ht="13.199999999999999">
      <c r="A126" s="17"/>
      <c r="B126" s="17" t="s">
        <v>23</v>
      </c>
      <c r="C126" s="22" t="s">
        <v>1194</v>
      </c>
      <c r="D126" s="22">
        <v>149</v>
      </c>
      <c r="E126" s="23">
        <v>1</v>
      </c>
    </row>
    <row r="127" ht="13.199999999999999">
      <c r="A127" s="17"/>
      <c r="B127" s="17" t="s">
        <v>23</v>
      </c>
      <c r="C127" s="22" t="s">
        <v>1182</v>
      </c>
      <c r="D127" s="22">
        <v>4999</v>
      </c>
      <c r="E127" s="23">
        <v>1</v>
      </c>
    </row>
    <row r="128" ht="13.199999999999999">
      <c r="A128" s="11">
        <v>13</v>
      </c>
      <c r="B128" s="11" t="s">
        <v>24</v>
      </c>
      <c r="C128" s="11" t="s">
        <v>1176</v>
      </c>
      <c r="D128" s="11">
        <v>149</v>
      </c>
      <c r="E128" s="21">
        <v>1</v>
      </c>
    </row>
    <row r="129" ht="13.199999999999999">
      <c r="A129" s="17"/>
      <c r="B129" s="17" t="s">
        <v>24</v>
      </c>
      <c r="C129" s="22" t="s">
        <v>1170</v>
      </c>
      <c r="D129" s="22">
        <v>198</v>
      </c>
      <c r="E129" s="23">
        <v>2</v>
      </c>
    </row>
    <row r="130" ht="13.199999999999999">
      <c r="A130" s="17"/>
      <c r="B130" s="17" t="s">
        <v>24</v>
      </c>
      <c r="C130" s="22" t="s">
        <v>1191</v>
      </c>
      <c r="D130" s="22">
        <v>99</v>
      </c>
      <c r="E130" s="23">
        <v>1</v>
      </c>
    </row>
    <row r="131" ht="13.199999999999999">
      <c r="A131" s="17"/>
      <c r="B131" s="17" t="s">
        <v>24</v>
      </c>
      <c r="C131" s="22" t="s">
        <v>1196</v>
      </c>
      <c r="D131" s="22">
        <v>1499</v>
      </c>
      <c r="E131" s="23">
        <v>1</v>
      </c>
    </row>
    <row r="132" ht="13.199999999999999">
      <c r="A132" s="17"/>
      <c r="B132" s="17" t="s">
        <v>24</v>
      </c>
      <c r="C132" s="22" t="s">
        <v>1178</v>
      </c>
      <c r="D132" s="22">
        <v>49</v>
      </c>
      <c r="E132" s="23">
        <v>1</v>
      </c>
    </row>
    <row r="133" ht="13.199999999999999">
      <c r="A133" s="17"/>
      <c r="B133" s="17" t="s">
        <v>24</v>
      </c>
      <c r="C133" s="22" t="s">
        <v>1185</v>
      </c>
      <c r="D133" s="22">
        <v>4999</v>
      </c>
      <c r="E133" s="23">
        <v>1</v>
      </c>
    </row>
    <row r="134" ht="13.199999999999999">
      <c r="A134" s="17"/>
      <c r="B134" s="17" t="s">
        <v>24</v>
      </c>
      <c r="C134" s="22" t="s">
        <v>1193</v>
      </c>
      <c r="D134" s="22">
        <v>4999</v>
      </c>
      <c r="E134" s="23">
        <v>1</v>
      </c>
    </row>
    <row r="135" ht="13.199999999999999">
      <c r="A135" s="17"/>
      <c r="B135" s="17" t="s">
        <v>24</v>
      </c>
      <c r="C135" s="22" t="s">
        <v>1188</v>
      </c>
      <c r="D135" s="22">
        <v>2999</v>
      </c>
      <c r="E135" s="23">
        <v>1</v>
      </c>
    </row>
    <row r="136" ht="13.199999999999999">
      <c r="A136" s="17"/>
      <c r="B136" s="17" t="s">
        <v>24</v>
      </c>
      <c r="C136" s="22" t="s">
        <v>1181</v>
      </c>
      <c r="D136" s="22">
        <v>299</v>
      </c>
      <c r="E136" s="23">
        <v>1</v>
      </c>
    </row>
    <row r="137" ht="13.199999999999999">
      <c r="A137" s="17"/>
      <c r="B137" s="17" t="s">
        <v>24</v>
      </c>
      <c r="C137" s="22" t="s">
        <v>1194</v>
      </c>
      <c r="D137" s="22">
        <v>99</v>
      </c>
      <c r="E137" s="23">
        <v>1</v>
      </c>
    </row>
    <row r="138" ht="13.199999999999999">
      <c r="A138" s="17"/>
      <c r="B138" s="17" t="s">
        <v>24</v>
      </c>
      <c r="C138" s="22" t="s">
        <v>1197</v>
      </c>
      <c r="D138" s="22">
        <v>2999</v>
      </c>
      <c r="E138" s="23">
        <v>1</v>
      </c>
    </row>
    <row r="139" ht="13.199999999999999">
      <c r="A139" s="11">
        <v>14</v>
      </c>
      <c r="B139" s="11" t="s">
        <v>26</v>
      </c>
      <c r="C139" s="11" t="s">
        <v>1190</v>
      </c>
      <c r="D139" s="11">
        <v>299</v>
      </c>
      <c r="E139" s="21">
        <v>1</v>
      </c>
    </row>
    <row r="140" ht="13.199999999999999">
      <c r="A140" s="17"/>
      <c r="B140" s="17" t="s">
        <v>26</v>
      </c>
      <c r="C140" s="22" t="s">
        <v>1187</v>
      </c>
      <c r="D140" s="22">
        <v>1499</v>
      </c>
      <c r="E140" s="23">
        <v>1</v>
      </c>
    </row>
    <row r="141" ht="13.199999999999999">
      <c r="A141" s="17"/>
      <c r="B141" s="17" t="s">
        <v>26</v>
      </c>
      <c r="C141" s="22" t="s">
        <v>1183</v>
      </c>
      <c r="D141" s="22">
        <v>149</v>
      </c>
      <c r="E141" s="23">
        <v>1</v>
      </c>
    </row>
    <row r="142" ht="13.199999999999999">
      <c r="A142" s="17"/>
      <c r="B142" s="17" t="s">
        <v>26</v>
      </c>
      <c r="C142" s="22" t="s">
        <v>1195</v>
      </c>
      <c r="D142" s="22">
        <v>99</v>
      </c>
      <c r="E142" s="23">
        <v>1</v>
      </c>
    </row>
    <row r="143" ht="13.199999999999999">
      <c r="A143" s="17"/>
      <c r="B143" s="17" t="s">
        <v>26</v>
      </c>
      <c r="C143" s="22" t="s">
        <v>1168</v>
      </c>
      <c r="D143" s="22">
        <v>1499</v>
      </c>
      <c r="E143" s="23">
        <v>1</v>
      </c>
    </row>
    <row r="144" ht="13.199999999999999">
      <c r="A144" s="17"/>
      <c r="B144" s="17" t="s">
        <v>26</v>
      </c>
      <c r="C144" s="22" t="s">
        <v>1175</v>
      </c>
      <c r="D144" s="22">
        <v>49</v>
      </c>
      <c r="E144" s="23">
        <v>1</v>
      </c>
    </row>
    <row r="145" ht="13.199999999999999">
      <c r="A145" s="17"/>
      <c r="B145" s="17" t="s">
        <v>26</v>
      </c>
      <c r="C145" s="22" t="s">
        <v>1176</v>
      </c>
      <c r="D145" s="22">
        <v>799</v>
      </c>
      <c r="E145" s="23">
        <v>1</v>
      </c>
    </row>
    <row r="146" ht="13.199999999999999">
      <c r="A146" s="17"/>
      <c r="B146" s="17" t="s">
        <v>26</v>
      </c>
      <c r="C146" s="22" t="s">
        <v>1192</v>
      </c>
      <c r="D146" s="22">
        <v>99</v>
      </c>
      <c r="E146" s="23">
        <v>1</v>
      </c>
    </row>
    <row r="147" ht="13.199999999999999">
      <c r="A147" s="17"/>
      <c r="B147" s="17" t="s">
        <v>26</v>
      </c>
      <c r="C147" s="22" t="s">
        <v>1179</v>
      </c>
      <c r="D147" s="22">
        <v>99</v>
      </c>
      <c r="E147" s="23">
        <v>1</v>
      </c>
    </row>
    <row r="148" ht="13.199999999999999">
      <c r="A148" s="17"/>
      <c r="B148" s="17" t="s">
        <v>26</v>
      </c>
      <c r="C148" s="22" t="s">
        <v>1185</v>
      </c>
      <c r="D148" s="22">
        <v>299</v>
      </c>
      <c r="E148" s="23">
        <v>1</v>
      </c>
    </row>
    <row r="149" ht="13.199999999999999">
      <c r="A149" s="17"/>
      <c r="B149" s="17" t="s">
        <v>26</v>
      </c>
      <c r="C149" s="22" t="s">
        <v>1189</v>
      </c>
      <c r="D149" s="22">
        <v>1598</v>
      </c>
      <c r="E149" s="23">
        <v>2</v>
      </c>
    </row>
    <row r="150" ht="13.199999999999999">
      <c r="A150" s="11">
        <v>15</v>
      </c>
      <c r="B150" s="11" t="s">
        <v>27</v>
      </c>
      <c r="C150" s="11" t="s">
        <v>1190</v>
      </c>
      <c r="D150" s="11">
        <v>499</v>
      </c>
      <c r="E150" s="21">
        <v>1</v>
      </c>
    </row>
    <row r="151" ht="13.199999999999999">
      <c r="A151" s="17"/>
      <c r="B151" s="17" t="s">
        <v>27</v>
      </c>
      <c r="C151" s="22" t="s">
        <v>1175</v>
      </c>
      <c r="D151" s="22">
        <v>49</v>
      </c>
      <c r="E151" s="23">
        <v>1</v>
      </c>
    </row>
    <row r="152" ht="13.199999999999999">
      <c r="A152" s="17"/>
      <c r="B152" s="17" t="s">
        <v>27</v>
      </c>
      <c r="C152" s="22" t="s">
        <v>1191</v>
      </c>
      <c r="D152" s="22">
        <v>49</v>
      </c>
      <c r="E152" s="23">
        <v>1</v>
      </c>
    </row>
    <row r="153" ht="13.199999999999999">
      <c r="A153" s="17"/>
      <c r="B153" s="17" t="s">
        <v>27</v>
      </c>
      <c r="C153" s="22" t="s">
        <v>1177</v>
      </c>
      <c r="D153" s="22">
        <v>299</v>
      </c>
      <c r="E153" s="23">
        <v>1</v>
      </c>
    </row>
    <row r="154" ht="13.199999999999999">
      <c r="A154" s="17"/>
      <c r="B154" s="17" t="s">
        <v>27</v>
      </c>
      <c r="C154" s="22" t="s">
        <v>1196</v>
      </c>
      <c r="D154" s="22">
        <v>399</v>
      </c>
      <c r="E154" s="23">
        <v>1</v>
      </c>
    </row>
    <row r="155" ht="13.199999999999999">
      <c r="A155" s="17"/>
      <c r="B155" s="17" t="s">
        <v>27</v>
      </c>
      <c r="C155" s="22" t="s">
        <v>1179</v>
      </c>
      <c r="D155" s="22">
        <v>499</v>
      </c>
      <c r="E155" s="23">
        <v>1</v>
      </c>
    </row>
    <row r="156" ht="13.199999999999999">
      <c r="A156" s="17"/>
      <c r="B156" s="17" t="s">
        <v>27</v>
      </c>
      <c r="C156" s="22" t="s">
        <v>1188</v>
      </c>
      <c r="D156" s="22">
        <v>148</v>
      </c>
      <c r="E156" s="23">
        <v>2</v>
      </c>
    </row>
    <row r="157" ht="13.199999999999999">
      <c r="A157" s="17"/>
      <c r="B157" s="17" t="s">
        <v>27</v>
      </c>
      <c r="C157" s="22" t="s">
        <v>1181</v>
      </c>
      <c r="D157" s="22">
        <v>4999</v>
      </c>
      <c r="E157" s="23">
        <v>1</v>
      </c>
    </row>
    <row r="158" ht="13.199999999999999">
      <c r="A158" s="17"/>
      <c r="B158" s="17" t="s">
        <v>27</v>
      </c>
      <c r="C158" s="22" t="s">
        <v>1194</v>
      </c>
      <c r="D158" s="22">
        <v>799</v>
      </c>
      <c r="E158" s="23">
        <v>1</v>
      </c>
    </row>
    <row r="159" ht="13.199999999999999">
      <c r="A159" s="17"/>
      <c r="B159" s="17" t="s">
        <v>27</v>
      </c>
      <c r="C159" s="22" t="s">
        <v>1186</v>
      </c>
      <c r="D159" s="22">
        <v>98</v>
      </c>
      <c r="E159" s="23">
        <v>2</v>
      </c>
    </row>
    <row r="160" ht="13.199999999999999">
      <c r="A160" s="11">
        <v>16</v>
      </c>
      <c r="B160" s="11" t="s">
        <v>28</v>
      </c>
      <c r="C160" s="11" t="s">
        <v>1187</v>
      </c>
      <c r="D160" s="11">
        <v>499</v>
      </c>
      <c r="E160" s="21">
        <v>1</v>
      </c>
    </row>
    <row r="161" ht="13.199999999999999">
      <c r="A161" s="17"/>
      <c r="B161" s="17" t="s">
        <v>28</v>
      </c>
      <c r="C161" s="22" t="s">
        <v>1183</v>
      </c>
      <c r="D161" s="22">
        <v>99</v>
      </c>
      <c r="E161" s="23">
        <v>1</v>
      </c>
    </row>
    <row r="162" ht="13.199999999999999">
      <c r="A162" s="17"/>
      <c r="B162" s="17" t="s">
        <v>28</v>
      </c>
      <c r="C162" s="22" t="s">
        <v>1195</v>
      </c>
      <c r="D162" s="22">
        <v>49</v>
      </c>
      <c r="E162" s="23">
        <v>1</v>
      </c>
    </row>
    <row r="163" ht="13.199999999999999">
      <c r="A163" s="17"/>
      <c r="B163" s="17" t="s">
        <v>28</v>
      </c>
      <c r="C163" s="22" t="s">
        <v>1168</v>
      </c>
      <c r="D163" s="22">
        <v>149</v>
      </c>
      <c r="E163" s="23">
        <v>1</v>
      </c>
    </row>
    <row r="164" ht="13.199999999999999">
      <c r="A164" s="17"/>
      <c r="B164" s="17" t="s">
        <v>28</v>
      </c>
      <c r="C164" s="22" t="s">
        <v>1171</v>
      </c>
      <c r="D164" s="22">
        <v>499</v>
      </c>
      <c r="E164" s="23">
        <v>1</v>
      </c>
    </row>
    <row r="165" ht="13.199999999999999">
      <c r="A165" s="17"/>
      <c r="B165" s="17" t="s">
        <v>28</v>
      </c>
      <c r="C165" s="22" t="s">
        <v>1178</v>
      </c>
      <c r="D165" s="22">
        <v>2999</v>
      </c>
      <c r="E165" s="23">
        <v>1</v>
      </c>
    </row>
    <row r="166" ht="13.199999999999999">
      <c r="A166" s="17"/>
      <c r="B166" s="17" t="s">
        <v>28</v>
      </c>
      <c r="C166" s="22" t="s">
        <v>1192</v>
      </c>
      <c r="D166" s="22">
        <v>49</v>
      </c>
      <c r="E166" s="23">
        <v>1</v>
      </c>
    </row>
    <row r="167" ht="13.199999999999999">
      <c r="A167" s="17"/>
      <c r="B167" s="17" t="s">
        <v>28</v>
      </c>
      <c r="C167" s="22" t="s">
        <v>1185</v>
      </c>
      <c r="D167" s="22">
        <v>448</v>
      </c>
      <c r="E167" s="23">
        <v>2</v>
      </c>
    </row>
    <row r="168" ht="13.199999999999999">
      <c r="A168" s="17"/>
      <c r="B168" s="17" t="s">
        <v>28</v>
      </c>
      <c r="C168" s="22" t="s">
        <v>1174</v>
      </c>
      <c r="D168" s="22">
        <v>399</v>
      </c>
      <c r="E168" s="23">
        <v>1</v>
      </c>
    </row>
    <row r="169" ht="13.199999999999999">
      <c r="A169" s="17"/>
      <c r="B169" s="17" t="s">
        <v>28</v>
      </c>
      <c r="C169" s="22" t="s">
        <v>1188</v>
      </c>
      <c r="D169" s="22">
        <v>1548</v>
      </c>
      <c r="E169" s="23">
        <v>2</v>
      </c>
    </row>
    <row r="170" ht="13.199999999999999">
      <c r="A170" s="17"/>
      <c r="B170" s="17" t="s">
        <v>28</v>
      </c>
      <c r="C170" s="22" t="s">
        <v>1189</v>
      </c>
      <c r="D170" s="22">
        <v>98</v>
      </c>
      <c r="E170" s="23">
        <v>2</v>
      </c>
    </row>
    <row r="171" ht="13.199999999999999">
      <c r="A171" s="17"/>
      <c r="B171" s="17" t="s">
        <v>28</v>
      </c>
      <c r="C171" s="22" t="s">
        <v>1194</v>
      </c>
      <c r="D171" s="22">
        <v>348</v>
      </c>
      <c r="E171" s="23">
        <v>2</v>
      </c>
    </row>
    <row r="172" ht="13.199999999999999">
      <c r="A172" s="17"/>
      <c r="B172" s="17" t="s">
        <v>28</v>
      </c>
      <c r="C172" s="22" t="s">
        <v>1197</v>
      </c>
      <c r="D172" s="22">
        <v>49</v>
      </c>
      <c r="E172" s="23">
        <v>1</v>
      </c>
    </row>
    <row r="173" ht="13.199999999999999">
      <c r="A173" s="17"/>
      <c r="B173" s="17" t="s">
        <v>28</v>
      </c>
      <c r="C173" s="22" t="s">
        <v>1186</v>
      </c>
      <c r="D173" s="22">
        <v>2999</v>
      </c>
      <c r="E173" s="23">
        <v>1</v>
      </c>
    </row>
    <row r="174" ht="13.199999999999999">
      <c r="A174" s="17"/>
      <c r="B174" s="17" t="s">
        <v>28</v>
      </c>
      <c r="C174" s="22" t="s">
        <v>1182</v>
      </c>
      <c r="D174" s="22">
        <v>898</v>
      </c>
      <c r="E174" s="23">
        <v>2</v>
      </c>
    </row>
    <row r="175" ht="13.199999999999999">
      <c r="A175" s="11">
        <v>17</v>
      </c>
      <c r="B175" s="11" t="s">
        <v>30</v>
      </c>
      <c r="C175" s="11" t="s">
        <v>1190</v>
      </c>
      <c r="D175" s="11">
        <v>1499</v>
      </c>
      <c r="E175" s="21">
        <v>1</v>
      </c>
    </row>
    <row r="176" ht="13.199999999999999">
      <c r="A176" s="17"/>
      <c r="B176" s="17" t="s">
        <v>30</v>
      </c>
      <c r="C176" s="22" t="s">
        <v>1187</v>
      </c>
      <c r="D176" s="22">
        <v>299</v>
      </c>
      <c r="E176" s="23">
        <v>1</v>
      </c>
    </row>
    <row r="177" ht="13.199999999999999">
      <c r="A177" s="17"/>
      <c r="B177" s="17" t="s">
        <v>30</v>
      </c>
      <c r="C177" s="22" t="s">
        <v>1183</v>
      </c>
      <c r="D177" s="22">
        <v>398</v>
      </c>
      <c r="E177" s="23">
        <v>2</v>
      </c>
    </row>
    <row r="178" ht="13.199999999999999">
      <c r="A178" s="17"/>
      <c r="B178" s="17" t="s">
        <v>30</v>
      </c>
      <c r="C178" s="22" t="s">
        <v>1171</v>
      </c>
      <c r="D178" s="22">
        <v>7998</v>
      </c>
      <c r="E178" s="23">
        <v>2</v>
      </c>
    </row>
    <row r="179" ht="13.199999999999999">
      <c r="A179" s="17"/>
      <c r="B179" s="17" t="s">
        <v>30</v>
      </c>
      <c r="C179" s="22" t="s">
        <v>1172</v>
      </c>
      <c r="D179" s="22">
        <v>1499</v>
      </c>
      <c r="E179" s="23">
        <v>1</v>
      </c>
    </row>
    <row r="180" ht="13.199999999999999">
      <c r="A180" s="17"/>
      <c r="B180" s="17" t="s">
        <v>30</v>
      </c>
      <c r="C180" s="22" t="s">
        <v>1173</v>
      </c>
      <c r="D180" s="22">
        <v>299</v>
      </c>
      <c r="E180" s="23">
        <v>1</v>
      </c>
    </row>
    <row r="181" ht="13.199999999999999">
      <c r="A181" s="17"/>
      <c r="B181" s="17" t="s">
        <v>30</v>
      </c>
      <c r="C181" s="22" t="s">
        <v>1192</v>
      </c>
      <c r="D181" s="22">
        <v>198</v>
      </c>
      <c r="E181" s="23">
        <v>2</v>
      </c>
    </row>
    <row r="182" ht="13.199999999999999">
      <c r="A182" s="17"/>
      <c r="B182" s="17" t="s">
        <v>30</v>
      </c>
      <c r="C182" s="22" t="s">
        <v>1179</v>
      </c>
      <c r="D182" s="22">
        <v>49</v>
      </c>
      <c r="E182" s="23">
        <v>1</v>
      </c>
    </row>
    <row r="183" ht="13.199999999999999">
      <c r="A183" s="17"/>
      <c r="B183" s="17" t="s">
        <v>30</v>
      </c>
      <c r="C183" s="22" t="s">
        <v>1197</v>
      </c>
      <c r="D183" s="22">
        <v>299</v>
      </c>
      <c r="E183" s="23">
        <v>1</v>
      </c>
    </row>
    <row r="184" ht="13.199999999999999">
      <c r="A184" s="17"/>
      <c r="B184" s="17" t="s">
        <v>30</v>
      </c>
      <c r="C184" s="22" t="s">
        <v>1182</v>
      </c>
      <c r="D184" s="22">
        <v>499</v>
      </c>
      <c r="E184" s="23">
        <v>1</v>
      </c>
    </row>
    <row r="185" ht="13.199999999999999">
      <c r="A185" s="11">
        <v>18</v>
      </c>
      <c r="B185" s="11" t="s">
        <v>31</v>
      </c>
      <c r="C185" s="11" t="s">
        <v>1169</v>
      </c>
      <c r="D185" s="11">
        <v>499</v>
      </c>
      <c r="E185" s="21">
        <v>1</v>
      </c>
    </row>
    <row r="186" ht="13.199999999999999">
      <c r="A186" s="17"/>
      <c r="B186" s="17" t="s">
        <v>31</v>
      </c>
      <c r="C186" s="22" t="s">
        <v>1171</v>
      </c>
      <c r="D186" s="22">
        <v>799</v>
      </c>
      <c r="E186" s="23">
        <v>1</v>
      </c>
    </row>
    <row r="187" ht="13.199999999999999">
      <c r="A187" s="17"/>
      <c r="B187" s="17" t="s">
        <v>31</v>
      </c>
      <c r="C187" s="22" t="s">
        <v>1172</v>
      </c>
      <c r="D187" s="22">
        <v>49</v>
      </c>
      <c r="E187" s="23">
        <v>1</v>
      </c>
    </row>
    <row r="188" ht="13.199999999999999">
      <c r="A188" s="17"/>
      <c r="B188" s="17" t="s">
        <v>31</v>
      </c>
      <c r="C188" s="22" t="s">
        <v>1196</v>
      </c>
      <c r="D188" s="22">
        <v>149</v>
      </c>
      <c r="E188" s="23">
        <v>1</v>
      </c>
    </row>
    <row r="189" ht="13.199999999999999">
      <c r="A189" s="17"/>
      <c r="B189" s="17" t="s">
        <v>31</v>
      </c>
      <c r="C189" s="22" t="s">
        <v>1178</v>
      </c>
      <c r="D189" s="22">
        <v>149</v>
      </c>
      <c r="E189" s="23">
        <v>1</v>
      </c>
    </row>
    <row r="190" ht="13.199999999999999">
      <c r="A190" s="17"/>
      <c r="B190" s="17" t="s">
        <v>31</v>
      </c>
      <c r="C190" s="22" t="s">
        <v>1184</v>
      </c>
      <c r="D190" s="22">
        <v>3148</v>
      </c>
      <c r="E190" s="23">
        <v>2</v>
      </c>
    </row>
    <row r="191" ht="13.199999999999999">
      <c r="A191" s="17"/>
      <c r="B191" s="17" t="s">
        <v>31</v>
      </c>
      <c r="C191" s="22" t="s">
        <v>1192</v>
      </c>
      <c r="D191" s="22">
        <v>499</v>
      </c>
      <c r="E191" s="23">
        <v>1</v>
      </c>
    </row>
    <row r="192" ht="13.199999999999999">
      <c r="A192" s="17"/>
      <c r="B192" s="17" t="s">
        <v>31</v>
      </c>
      <c r="C192" s="22" t="s">
        <v>1185</v>
      </c>
      <c r="D192" s="22">
        <v>149</v>
      </c>
      <c r="E192" s="23">
        <v>1</v>
      </c>
    </row>
    <row r="193" ht="13.199999999999999">
      <c r="A193" s="17"/>
      <c r="B193" s="17" t="s">
        <v>31</v>
      </c>
      <c r="C193" s="22" t="s">
        <v>1189</v>
      </c>
      <c r="D193" s="22">
        <v>1648</v>
      </c>
      <c r="E193" s="23">
        <v>2</v>
      </c>
    </row>
    <row r="194" ht="13.199999999999999">
      <c r="A194" s="11">
        <v>19</v>
      </c>
      <c r="B194" s="11" t="s">
        <v>32</v>
      </c>
      <c r="C194" s="11" t="s">
        <v>1187</v>
      </c>
      <c r="D194" s="11">
        <v>149</v>
      </c>
      <c r="E194" s="21">
        <v>1</v>
      </c>
    </row>
    <row r="195" ht="13.199999999999999">
      <c r="A195" s="17"/>
      <c r="B195" s="17" t="s">
        <v>32</v>
      </c>
      <c r="C195" s="22" t="s">
        <v>1169</v>
      </c>
      <c r="D195" s="22">
        <v>499</v>
      </c>
      <c r="E195" s="23">
        <v>1</v>
      </c>
    </row>
    <row r="196" ht="13.199999999999999">
      <c r="A196" s="17"/>
      <c r="B196" s="17" t="s">
        <v>32</v>
      </c>
      <c r="C196" s="22" t="s">
        <v>1170</v>
      </c>
      <c r="D196" s="22">
        <v>99</v>
      </c>
      <c r="E196" s="23">
        <v>1</v>
      </c>
    </row>
    <row r="197" ht="13.199999999999999">
      <c r="A197" s="17"/>
      <c r="B197" s="17" t="s">
        <v>32</v>
      </c>
      <c r="C197" s="22" t="s">
        <v>1191</v>
      </c>
      <c r="D197" s="22">
        <v>2999</v>
      </c>
      <c r="E197" s="23">
        <v>1</v>
      </c>
    </row>
    <row r="198" ht="13.199999999999999">
      <c r="A198" s="17"/>
      <c r="B198" s="17" t="s">
        <v>32</v>
      </c>
      <c r="C198" s="22" t="s">
        <v>1178</v>
      </c>
      <c r="D198" s="22">
        <v>398</v>
      </c>
      <c r="E198" s="23">
        <v>2</v>
      </c>
    </row>
    <row r="199" ht="13.199999999999999">
      <c r="A199" s="17"/>
      <c r="B199" s="17" t="s">
        <v>32</v>
      </c>
      <c r="C199" s="22" t="s">
        <v>1184</v>
      </c>
      <c r="D199" s="22">
        <v>4999</v>
      </c>
      <c r="E199" s="23">
        <v>1</v>
      </c>
    </row>
    <row r="200" ht="13.199999999999999">
      <c r="A200" s="17"/>
      <c r="B200" s="17" t="s">
        <v>32</v>
      </c>
      <c r="C200" s="22" t="s">
        <v>1179</v>
      </c>
      <c r="D200" s="22">
        <v>99</v>
      </c>
      <c r="E200" s="23">
        <v>1</v>
      </c>
    </row>
    <row r="201" ht="13.199999999999999">
      <c r="A201" s="17"/>
      <c r="B201" s="17" t="s">
        <v>32</v>
      </c>
      <c r="C201" s="22" t="s">
        <v>1185</v>
      </c>
      <c r="D201" s="22">
        <v>348</v>
      </c>
      <c r="E201" s="23">
        <v>2</v>
      </c>
    </row>
    <row r="202" ht="13.199999999999999">
      <c r="A202" s="17"/>
      <c r="B202" s="17" t="s">
        <v>32</v>
      </c>
      <c r="C202" s="22" t="s">
        <v>1180</v>
      </c>
      <c r="D202" s="22">
        <v>2999</v>
      </c>
      <c r="E202" s="23">
        <v>1</v>
      </c>
    </row>
    <row r="203" ht="13.199999999999999">
      <c r="A203" s="17"/>
      <c r="B203" s="17" t="s">
        <v>32</v>
      </c>
      <c r="C203" s="22" t="s">
        <v>1188</v>
      </c>
      <c r="D203" s="22">
        <v>149</v>
      </c>
      <c r="E203" s="23">
        <v>1</v>
      </c>
    </row>
    <row r="204" ht="13.199999999999999">
      <c r="A204" s="17"/>
      <c r="B204" s="17" t="s">
        <v>32</v>
      </c>
      <c r="C204" s="22" t="s">
        <v>1189</v>
      </c>
      <c r="D204" s="22">
        <v>49</v>
      </c>
      <c r="E204" s="23">
        <v>1</v>
      </c>
    </row>
    <row r="205" ht="13.199999999999999">
      <c r="A205" s="17"/>
      <c r="B205" s="17" t="s">
        <v>32</v>
      </c>
      <c r="C205" s="22" t="s">
        <v>1181</v>
      </c>
      <c r="D205" s="22">
        <v>49</v>
      </c>
      <c r="E205" s="23">
        <v>1</v>
      </c>
    </row>
    <row r="206" ht="13.199999999999999">
      <c r="A206" s="11">
        <v>20</v>
      </c>
      <c r="B206" s="11" t="s">
        <v>33</v>
      </c>
      <c r="C206" s="11" t="s">
        <v>1187</v>
      </c>
      <c r="D206" s="11">
        <v>49</v>
      </c>
      <c r="E206" s="21">
        <v>1</v>
      </c>
    </row>
    <row r="207" ht="13.199999999999999">
      <c r="A207" s="17"/>
      <c r="B207" s="17" t="s">
        <v>33</v>
      </c>
      <c r="C207" s="22" t="s">
        <v>1183</v>
      </c>
      <c r="D207" s="22">
        <v>348</v>
      </c>
      <c r="E207" s="23">
        <v>2</v>
      </c>
    </row>
    <row r="208" ht="13.199999999999999">
      <c r="A208" s="17"/>
      <c r="B208" s="17" t="s">
        <v>33</v>
      </c>
      <c r="C208" s="22" t="s">
        <v>1195</v>
      </c>
      <c r="D208" s="22">
        <v>2999</v>
      </c>
      <c r="E208" s="23">
        <v>1</v>
      </c>
    </row>
    <row r="209" ht="13.199999999999999">
      <c r="A209" s="17"/>
      <c r="B209" s="17" t="s">
        <v>33</v>
      </c>
      <c r="C209" s="22" t="s">
        <v>1191</v>
      </c>
      <c r="D209" s="22">
        <v>149</v>
      </c>
      <c r="E209" s="23">
        <v>1</v>
      </c>
    </row>
    <row r="210" ht="13.199999999999999">
      <c r="A210" s="17"/>
      <c r="B210" s="17" t="s">
        <v>33</v>
      </c>
      <c r="C210" s="22" t="s">
        <v>1193</v>
      </c>
      <c r="D210" s="22">
        <v>99</v>
      </c>
      <c r="E210" s="23">
        <v>1</v>
      </c>
    </row>
    <row r="211" ht="13.199999999999999">
      <c r="A211" s="17"/>
      <c r="B211" s="17" t="s">
        <v>33</v>
      </c>
      <c r="C211" s="22" t="s">
        <v>1174</v>
      </c>
      <c r="D211" s="22">
        <v>49</v>
      </c>
      <c r="E211" s="23">
        <v>1</v>
      </c>
    </row>
    <row r="212" ht="13.199999999999999">
      <c r="A212" s="17"/>
      <c r="B212" s="17" t="s">
        <v>33</v>
      </c>
      <c r="C212" s="22" t="s">
        <v>1188</v>
      </c>
      <c r="D212" s="22">
        <v>49</v>
      </c>
      <c r="E212" s="23">
        <v>1</v>
      </c>
    </row>
    <row r="213" ht="13.199999999999999">
      <c r="A213" s="17"/>
      <c r="B213" s="17" t="s">
        <v>33</v>
      </c>
      <c r="C213" s="22" t="s">
        <v>1186</v>
      </c>
      <c r="D213" s="22">
        <v>499</v>
      </c>
      <c r="E213" s="23">
        <v>1</v>
      </c>
    </row>
    <row r="214" ht="13.199999999999999">
      <c r="A214" s="11">
        <v>21</v>
      </c>
      <c r="B214" s="11" t="s">
        <v>34</v>
      </c>
      <c r="C214" s="11" t="s">
        <v>1190</v>
      </c>
      <c r="D214" s="11">
        <v>5298</v>
      </c>
      <c r="E214" s="21">
        <v>2</v>
      </c>
    </row>
    <row r="215" ht="13.199999999999999">
      <c r="A215" s="17"/>
      <c r="B215" s="17" t="s">
        <v>34</v>
      </c>
      <c r="C215" s="22" t="s">
        <v>1168</v>
      </c>
      <c r="D215" s="22">
        <v>499</v>
      </c>
      <c r="E215" s="23">
        <v>1</v>
      </c>
    </row>
    <row r="216" ht="13.199999999999999">
      <c r="A216" s="17"/>
      <c r="B216" s="17" t="s">
        <v>34</v>
      </c>
      <c r="C216" s="22" t="s">
        <v>1170</v>
      </c>
      <c r="D216" s="22">
        <v>499</v>
      </c>
      <c r="E216" s="23">
        <v>1</v>
      </c>
    </row>
    <row r="217" ht="13.199999999999999">
      <c r="A217" s="17"/>
      <c r="B217" s="17" t="s">
        <v>34</v>
      </c>
      <c r="C217" s="22" t="s">
        <v>1196</v>
      </c>
      <c r="D217" s="22">
        <v>49</v>
      </c>
      <c r="E217" s="23">
        <v>1</v>
      </c>
    </row>
    <row r="218" ht="13.199999999999999">
      <c r="A218" s="17"/>
      <c r="B218" s="17" t="s">
        <v>34</v>
      </c>
      <c r="C218" s="22" t="s">
        <v>1178</v>
      </c>
      <c r="D218" s="22">
        <v>299</v>
      </c>
      <c r="E218" s="23">
        <v>1</v>
      </c>
    </row>
    <row r="219" ht="13.199999999999999">
      <c r="A219" s="17"/>
      <c r="B219" s="17" t="s">
        <v>34</v>
      </c>
      <c r="C219" s="22" t="s">
        <v>1184</v>
      </c>
      <c r="D219" s="22">
        <v>799</v>
      </c>
      <c r="E219" s="23">
        <v>1</v>
      </c>
    </row>
    <row r="220" ht="13.199999999999999">
      <c r="A220" s="17"/>
      <c r="B220" s="17" t="s">
        <v>34</v>
      </c>
      <c r="C220" s="22" t="s">
        <v>1192</v>
      </c>
      <c r="D220" s="22">
        <v>799</v>
      </c>
      <c r="E220" s="23">
        <v>1</v>
      </c>
    </row>
    <row r="221" ht="13.199999999999999">
      <c r="A221" s="17"/>
      <c r="B221" s="17" t="s">
        <v>34</v>
      </c>
      <c r="C221" s="22" t="s">
        <v>1179</v>
      </c>
      <c r="D221" s="22">
        <v>99</v>
      </c>
      <c r="E221" s="23">
        <v>1</v>
      </c>
    </row>
    <row r="222" ht="13.199999999999999">
      <c r="A222" s="17"/>
      <c r="B222" s="17" t="s">
        <v>34</v>
      </c>
      <c r="C222" s="22" t="s">
        <v>1185</v>
      </c>
      <c r="D222" s="22">
        <v>49</v>
      </c>
      <c r="E222" s="23">
        <v>1</v>
      </c>
    </row>
    <row r="223" ht="13.199999999999999">
      <c r="A223" s="17"/>
      <c r="B223" s="17" t="s">
        <v>34</v>
      </c>
      <c r="C223" s="22" t="s">
        <v>1193</v>
      </c>
      <c r="D223" s="22">
        <v>49</v>
      </c>
      <c r="E223" s="23">
        <v>1</v>
      </c>
    </row>
    <row r="224" ht="13.199999999999999">
      <c r="A224" s="17"/>
      <c r="B224" s="17" t="s">
        <v>34</v>
      </c>
      <c r="C224" s="22" t="s">
        <v>1189</v>
      </c>
      <c r="D224" s="22">
        <v>299</v>
      </c>
      <c r="E224" s="23">
        <v>1</v>
      </c>
    </row>
    <row r="225" ht="13.199999999999999">
      <c r="A225" s="17"/>
      <c r="B225" s="17" t="s">
        <v>34</v>
      </c>
      <c r="C225" s="22" t="s">
        <v>1181</v>
      </c>
      <c r="D225" s="22">
        <v>99</v>
      </c>
      <c r="E225" s="23">
        <v>1</v>
      </c>
    </row>
    <row r="226" ht="13.199999999999999">
      <c r="A226" s="17"/>
      <c r="B226" s="17" t="s">
        <v>34</v>
      </c>
      <c r="C226" s="22" t="s">
        <v>1194</v>
      </c>
      <c r="D226" s="22">
        <v>49</v>
      </c>
      <c r="E226" s="23">
        <v>1</v>
      </c>
    </row>
    <row r="227" ht="13.199999999999999">
      <c r="A227" s="11">
        <v>22</v>
      </c>
      <c r="B227" s="11" t="s">
        <v>35</v>
      </c>
      <c r="C227" s="11" t="s">
        <v>1190</v>
      </c>
      <c r="D227" s="11">
        <v>799</v>
      </c>
      <c r="E227" s="21">
        <v>1</v>
      </c>
    </row>
    <row r="228" ht="13.199999999999999">
      <c r="A228" s="17"/>
      <c r="B228" s="17" t="s">
        <v>35</v>
      </c>
      <c r="C228" s="22" t="s">
        <v>1168</v>
      </c>
      <c r="D228" s="22">
        <v>448</v>
      </c>
      <c r="E228" s="23">
        <v>2</v>
      </c>
    </row>
    <row r="229" ht="13.199999999999999">
      <c r="A229" s="17"/>
      <c r="B229" s="17" t="s">
        <v>35</v>
      </c>
      <c r="C229" s="22" t="s">
        <v>1175</v>
      </c>
      <c r="D229" s="22">
        <v>499</v>
      </c>
      <c r="E229" s="23">
        <v>1</v>
      </c>
    </row>
    <row r="230" ht="13.199999999999999">
      <c r="A230" s="17"/>
      <c r="B230" s="17" t="s">
        <v>35</v>
      </c>
      <c r="C230" s="22" t="s">
        <v>1191</v>
      </c>
      <c r="D230" s="22">
        <v>499</v>
      </c>
      <c r="E230" s="23">
        <v>1</v>
      </c>
    </row>
    <row r="231" ht="13.199999999999999">
      <c r="A231" s="17"/>
      <c r="B231" s="17" t="s">
        <v>35</v>
      </c>
      <c r="C231" s="22" t="s">
        <v>1171</v>
      </c>
      <c r="D231" s="22">
        <v>299</v>
      </c>
      <c r="E231" s="23">
        <v>1</v>
      </c>
    </row>
    <row r="232" ht="13.199999999999999">
      <c r="A232" s="17"/>
      <c r="B232" s="17" t="s">
        <v>35</v>
      </c>
      <c r="C232" s="22" t="s">
        <v>1172</v>
      </c>
      <c r="D232" s="22">
        <v>1697</v>
      </c>
      <c r="E232" s="23">
        <v>3</v>
      </c>
    </row>
    <row r="233" ht="13.199999999999999">
      <c r="A233" s="17"/>
      <c r="B233" s="17" t="s">
        <v>35</v>
      </c>
      <c r="C233" s="22" t="s">
        <v>1177</v>
      </c>
      <c r="D233" s="22">
        <v>5798</v>
      </c>
      <c r="E233" s="23">
        <v>2</v>
      </c>
    </row>
    <row r="234" ht="13.199999999999999">
      <c r="A234" s="17"/>
      <c r="B234" s="17" t="s">
        <v>35</v>
      </c>
      <c r="C234" s="22" t="s">
        <v>1196</v>
      </c>
      <c r="D234" s="22">
        <v>799</v>
      </c>
      <c r="E234" s="23">
        <v>1</v>
      </c>
    </row>
    <row r="235" ht="13.199999999999999">
      <c r="A235" s="17"/>
      <c r="B235" s="17" t="s">
        <v>35</v>
      </c>
      <c r="C235" s="22" t="s">
        <v>1173</v>
      </c>
      <c r="D235" s="22">
        <v>1598</v>
      </c>
      <c r="E235" s="23">
        <v>2</v>
      </c>
    </row>
    <row r="236" ht="13.199999999999999">
      <c r="A236" s="17"/>
      <c r="B236" s="17" t="s">
        <v>35</v>
      </c>
      <c r="C236" s="22" t="s">
        <v>1174</v>
      </c>
      <c r="D236" s="22">
        <v>49</v>
      </c>
      <c r="E236" s="23">
        <v>1</v>
      </c>
    </row>
    <row r="237" ht="13.199999999999999">
      <c r="A237" s="17"/>
      <c r="B237" s="17" t="s">
        <v>35</v>
      </c>
      <c r="C237" s="22" t="s">
        <v>1186</v>
      </c>
      <c r="D237" s="22">
        <v>49</v>
      </c>
      <c r="E237" s="23">
        <v>1</v>
      </c>
    </row>
    <row r="238" ht="13.199999999999999">
      <c r="A238" s="11">
        <v>23</v>
      </c>
      <c r="B238" s="11" t="s">
        <v>36</v>
      </c>
      <c r="C238" s="11" t="s">
        <v>1176</v>
      </c>
      <c r="D238" s="11">
        <v>99</v>
      </c>
      <c r="E238" s="21">
        <v>1</v>
      </c>
    </row>
    <row r="239" ht="13.199999999999999">
      <c r="A239" s="17"/>
      <c r="B239" s="17" t="s">
        <v>36</v>
      </c>
      <c r="C239" s="22" t="s">
        <v>1170</v>
      </c>
      <c r="D239" s="22">
        <v>399</v>
      </c>
      <c r="E239" s="23">
        <v>1</v>
      </c>
    </row>
    <row r="240" ht="13.199999999999999">
      <c r="A240" s="17"/>
      <c r="B240" s="17" t="s">
        <v>36</v>
      </c>
      <c r="C240" s="22" t="s">
        <v>1172</v>
      </c>
      <c r="D240" s="22">
        <v>149</v>
      </c>
      <c r="E240" s="23">
        <v>1</v>
      </c>
    </row>
    <row r="241" ht="13.199999999999999">
      <c r="A241" s="17"/>
      <c r="B241" s="17" t="s">
        <v>36</v>
      </c>
      <c r="C241" s="22" t="s">
        <v>1173</v>
      </c>
      <c r="D241" s="22">
        <v>49</v>
      </c>
      <c r="E241" s="23">
        <v>1</v>
      </c>
    </row>
    <row r="242" ht="13.199999999999999">
      <c r="A242" s="17"/>
      <c r="B242" s="17" t="s">
        <v>36</v>
      </c>
      <c r="C242" s="22" t="s">
        <v>1192</v>
      </c>
      <c r="D242" s="22">
        <v>1999</v>
      </c>
      <c r="E242" s="23">
        <v>1</v>
      </c>
    </row>
    <row r="243" ht="13.199999999999999">
      <c r="A243" s="17"/>
      <c r="B243" s="17" t="s">
        <v>36</v>
      </c>
      <c r="C243" s="22" t="s">
        <v>1180</v>
      </c>
      <c r="D243" s="22">
        <v>49</v>
      </c>
      <c r="E243" s="23">
        <v>1</v>
      </c>
    </row>
    <row r="244" ht="13.199999999999999">
      <c r="A244" s="17"/>
      <c r="B244" s="17" t="s">
        <v>36</v>
      </c>
      <c r="C244" s="22" t="s">
        <v>1174</v>
      </c>
      <c r="D244" s="22">
        <v>247</v>
      </c>
      <c r="E244" s="23">
        <v>3</v>
      </c>
    </row>
    <row r="245" ht="13.199999999999999">
      <c r="A245" s="17"/>
      <c r="B245" s="17" t="s">
        <v>36</v>
      </c>
      <c r="C245" s="22" t="s">
        <v>1181</v>
      </c>
      <c r="D245" s="22">
        <v>49</v>
      </c>
      <c r="E245" s="23">
        <v>1</v>
      </c>
    </row>
    <row r="246" ht="13.199999999999999">
      <c r="A246" s="11">
        <v>24</v>
      </c>
      <c r="B246" s="11" t="s">
        <v>37</v>
      </c>
      <c r="C246" s="11" t="s">
        <v>1183</v>
      </c>
      <c r="D246" s="11">
        <v>49</v>
      </c>
      <c r="E246" s="21">
        <v>1</v>
      </c>
    </row>
    <row r="247" ht="13.199999999999999">
      <c r="A247" s="17"/>
      <c r="B247" s="17" t="s">
        <v>37</v>
      </c>
      <c r="C247" s="22" t="s">
        <v>1195</v>
      </c>
      <c r="D247" s="22">
        <v>149</v>
      </c>
      <c r="E247" s="23">
        <v>1</v>
      </c>
    </row>
    <row r="248" ht="13.199999999999999">
      <c r="A248" s="17"/>
      <c r="B248" s="17" t="s">
        <v>37</v>
      </c>
      <c r="C248" s="22" t="s">
        <v>1175</v>
      </c>
      <c r="D248" s="22">
        <v>299</v>
      </c>
      <c r="E248" s="23">
        <v>1</v>
      </c>
    </row>
    <row r="249" ht="13.199999999999999">
      <c r="A249" s="17"/>
      <c r="B249" s="17" t="s">
        <v>37</v>
      </c>
      <c r="C249" s="22" t="s">
        <v>1171</v>
      </c>
      <c r="D249" s="22">
        <v>799</v>
      </c>
      <c r="E249" s="23">
        <v>1</v>
      </c>
    </row>
    <row r="250" ht="13.199999999999999">
      <c r="A250" s="17"/>
      <c r="B250" s="17" t="s">
        <v>37</v>
      </c>
      <c r="C250" s="22" t="s">
        <v>1172</v>
      </c>
      <c r="D250" s="22">
        <v>149</v>
      </c>
      <c r="E250" s="23">
        <v>1</v>
      </c>
    </row>
    <row r="251" ht="13.199999999999999">
      <c r="A251" s="17"/>
      <c r="B251" s="17" t="s">
        <v>37</v>
      </c>
      <c r="C251" s="22" t="s">
        <v>1196</v>
      </c>
      <c r="D251" s="22">
        <v>499</v>
      </c>
      <c r="E251" s="23">
        <v>1</v>
      </c>
    </row>
    <row r="252" ht="13.199999999999999">
      <c r="A252" s="17"/>
      <c r="B252" s="17" t="s">
        <v>37</v>
      </c>
      <c r="C252" s="22" t="s">
        <v>1185</v>
      </c>
      <c r="D252" s="22">
        <v>299</v>
      </c>
      <c r="E252" s="23">
        <v>1</v>
      </c>
    </row>
    <row r="253" ht="13.199999999999999">
      <c r="A253" s="17"/>
      <c r="B253" s="17" t="s">
        <v>37</v>
      </c>
      <c r="C253" s="22" t="s">
        <v>1193</v>
      </c>
      <c r="D253" s="22">
        <v>799</v>
      </c>
      <c r="E253" s="23">
        <v>1</v>
      </c>
    </row>
    <row r="254" ht="13.199999999999999">
      <c r="A254" s="17"/>
      <c r="B254" s="17" t="s">
        <v>37</v>
      </c>
      <c r="C254" s="22" t="s">
        <v>1180</v>
      </c>
      <c r="D254" s="22">
        <v>49</v>
      </c>
      <c r="E254" s="23">
        <v>1</v>
      </c>
    </row>
    <row r="255" ht="13.199999999999999">
      <c r="A255" s="17"/>
      <c r="B255" s="17" t="s">
        <v>37</v>
      </c>
      <c r="C255" s="22" t="s">
        <v>1188</v>
      </c>
      <c r="D255" s="22">
        <v>148</v>
      </c>
      <c r="E255" s="23">
        <v>2</v>
      </c>
    </row>
    <row r="256" ht="13.199999999999999">
      <c r="A256" s="17"/>
      <c r="B256" s="17" t="s">
        <v>37</v>
      </c>
      <c r="C256" s="22" t="s">
        <v>1181</v>
      </c>
      <c r="D256" s="22">
        <v>348</v>
      </c>
      <c r="E256" s="23">
        <v>2</v>
      </c>
    </row>
    <row r="257" ht="13.199999999999999">
      <c r="A257" s="11">
        <v>25</v>
      </c>
      <c r="B257" s="11" t="s">
        <v>38</v>
      </c>
      <c r="C257" s="11" t="s">
        <v>1187</v>
      </c>
      <c r="D257" s="11">
        <v>99</v>
      </c>
      <c r="E257" s="21">
        <v>1</v>
      </c>
    </row>
    <row r="258" ht="13.199999999999999">
      <c r="A258" s="17"/>
      <c r="B258" s="17" t="s">
        <v>38</v>
      </c>
      <c r="C258" s="22" t="s">
        <v>1168</v>
      </c>
      <c r="D258" s="22">
        <v>4498</v>
      </c>
      <c r="E258" s="23">
        <v>2</v>
      </c>
    </row>
    <row r="259" ht="13.199999999999999">
      <c r="A259" s="17"/>
      <c r="B259" s="17" t="s">
        <v>38</v>
      </c>
      <c r="C259" s="22" t="s">
        <v>1169</v>
      </c>
      <c r="D259" s="22">
        <v>898</v>
      </c>
      <c r="E259" s="23">
        <v>2</v>
      </c>
    </row>
    <row r="260" ht="13.199999999999999">
      <c r="A260" s="17"/>
      <c r="B260" s="17" t="s">
        <v>38</v>
      </c>
      <c r="C260" s="22" t="s">
        <v>1171</v>
      </c>
      <c r="D260" s="22">
        <v>799</v>
      </c>
      <c r="E260" s="23">
        <v>1</v>
      </c>
    </row>
    <row r="261" ht="13.199999999999999">
      <c r="A261" s="17"/>
      <c r="B261" s="17" t="s">
        <v>38</v>
      </c>
      <c r="C261" s="22" t="s">
        <v>1177</v>
      </c>
      <c r="D261" s="22">
        <v>49</v>
      </c>
      <c r="E261" s="23">
        <v>1</v>
      </c>
    </row>
    <row r="262" ht="13.199999999999999">
      <c r="A262" s="17"/>
      <c r="B262" s="17" t="s">
        <v>38</v>
      </c>
      <c r="C262" s="22" t="s">
        <v>1178</v>
      </c>
      <c r="D262" s="22">
        <v>49</v>
      </c>
      <c r="E262" s="23">
        <v>1</v>
      </c>
    </row>
    <row r="263" ht="13.199999999999999">
      <c r="A263" s="17"/>
      <c r="B263" s="17" t="s">
        <v>38</v>
      </c>
      <c r="C263" s="22" t="s">
        <v>1184</v>
      </c>
      <c r="D263" s="22">
        <v>799</v>
      </c>
      <c r="E263" s="23">
        <v>1</v>
      </c>
    </row>
    <row r="264" ht="13.199999999999999">
      <c r="A264" s="17"/>
      <c r="B264" s="17" t="s">
        <v>38</v>
      </c>
      <c r="C264" s="22" t="s">
        <v>1179</v>
      </c>
      <c r="D264" s="22">
        <v>4498</v>
      </c>
      <c r="E264" s="23">
        <v>2</v>
      </c>
    </row>
    <row r="265" ht="13.199999999999999">
      <c r="A265" s="17"/>
      <c r="B265" s="17" t="s">
        <v>38</v>
      </c>
      <c r="C265" s="22" t="s">
        <v>1188</v>
      </c>
      <c r="D265" s="22">
        <v>497</v>
      </c>
      <c r="E265" s="23">
        <v>3</v>
      </c>
    </row>
    <row r="266" ht="13.199999999999999">
      <c r="A266" s="17"/>
      <c r="B266" s="17" t="s">
        <v>38</v>
      </c>
      <c r="C266" s="22" t="s">
        <v>1197</v>
      </c>
      <c r="D266" s="22">
        <v>299</v>
      </c>
      <c r="E266" s="23">
        <v>1</v>
      </c>
    </row>
    <row r="267" ht="13.199999999999999">
      <c r="A267" s="17"/>
      <c r="B267" s="17" t="s">
        <v>38</v>
      </c>
      <c r="C267" s="22" t="s">
        <v>1186</v>
      </c>
      <c r="D267" s="22">
        <v>3048</v>
      </c>
      <c r="E267" s="23">
        <v>2</v>
      </c>
    </row>
    <row r="268" ht="13.199999999999999">
      <c r="A268" s="11">
        <v>26</v>
      </c>
      <c r="B268" s="11" t="s">
        <v>39</v>
      </c>
      <c r="C268" s="11" t="s">
        <v>1187</v>
      </c>
      <c r="D268" s="11">
        <v>399</v>
      </c>
      <c r="E268" s="21">
        <v>1</v>
      </c>
    </row>
    <row r="269" ht="13.199999999999999">
      <c r="A269" s="17"/>
      <c r="B269" s="17" t="s">
        <v>39</v>
      </c>
      <c r="C269" s="22" t="s">
        <v>1183</v>
      </c>
      <c r="D269" s="22">
        <v>99</v>
      </c>
      <c r="E269" s="23">
        <v>1</v>
      </c>
    </row>
    <row r="270" ht="13.199999999999999">
      <c r="A270" s="17"/>
      <c r="B270" s="17" t="s">
        <v>39</v>
      </c>
      <c r="C270" s="22" t="s">
        <v>1169</v>
      </c>
      <c r="D270" s="22">
        <v>49</v>
      </c>
      <c r="E270" s="23">
        <v>1</v>
      </c>
    </row>
    <row r="271" ht="13.199999999999999">
      <c r="A271" s="17"/>
      <c r="B271" s="17" t="s">
        <v>39</v>
      </c>
      <c r="C271" s="22" t="s">
        <v>1191</v>
      </c>
      <c r="D271" s="22">
        <v>299</v>
      </c>
      <c r="E271" s="23">
        <v>1</v>
      </c>
    </row>
    <row r="272" ht="13.199999999999999">
      <c r="A272" s="17"/>
      <c r="B272" s="17" t="s">
        <v>39</v>
      </c>
      <c r="C272" s="22" t="s">
        <v>1172</v>
      </c>
      <c r="D272" s="22">
        <v>299</v>
      </c>
      <c r="E272" s="23">
        <v>1</v>
      </c>
    </row>
    <row r="273" ht="13.199999999999999">
      <c r="A273" s="17"/>
      <c r="B273" s="17" t="s">
        <v>39</v>
      </c>
      <c r="C273" s="22" t="s">
        <v>1196</v>
      </c>
      <c r="D273" s="22">
        <v>299</v>
      </c>
      <c r="E273" s="23">
        <v>1</v>
      </c>
    </row>
    <row r="274" ht="13.199999999999999">
      <c r="A274" s="17"/>
      <c r="B274" s="17" t="s">
        <v>39</v>
      </c>
      <c r="C274" s="22" t="s">
        <v>1180</v>
      </c>
      <c r="D274" s="22">
        <v>499</v>
      </c>
      <c r="E274" s="23">
        <v>1</v>
      </c>
    </row>
    <row r="275" ht="13.199999999999999">
      <c r="A275" s="17"/>
      <c r="B275" s="17" t="s">
        <v>39</v>
      </c>
      <c r="C275" s="22" t="s">
        <v>1174</v>
      </c>
      <c r="D275" s="22">
        <v>99</v>
      </c>
      <c r="E275" s="23">
        <v>1</v>
      </c>
    </row>
    <row r="276" ht="13.199999999999999">
      <c r="A276" s="17"/>
      <c r="B276" s="17" t="s">
        <v>39</v>
      </c>
      <c r="C276" s="22" t="s">
        <v>1197</v>
      </c>
      <c r="D276" s="22">
        <v>1499</v>
      </c>
      <c r="E276" s="23">
        <v>1</v>
      </c>
    </row>
    <row r="277" ht="13.199999999999999">
      <c r="A277" s="17"/>
      <c r="B277" s="17" t="s">
        <v>39</v>
      </c>
      <c r="C277" s="22" t="s">
        <v>1186</v>
      </c>
      <c r="D277" s="22">
        <v>148</v>
      </c>
      <c r="E277" s="23">
        <v>2</v>
      </c>
    </row>
    <row r="278" ht="13.199999999999999">
      <c r="A278" s="17"/>
      <c r="B278" s="17" t="s">
        <v>39</v>
      </c>
      <c r="C278" s="22" t="s">
        <v>1182</v>
      </c>
      <c r="D278" s="22">
        <v>1499</v>
      </c>
      <c r="E278" s="23">
        <v>1</v>
      </c>
    </row>
    <row r="279" ht="13.199999999999999">
      <c r="A279" s="11">
        <v>27</v>
      </c>
      <c r="B279" s="11" t="s">
        <v>40</v>
      </c>
      <c r="C279" s="11" t="s">
        <v>1190</v>
      </c>
      <c r="D279" s="11">
        <v>149</v>
      </c>
      <c r="E279" s="21">
        <v>1</v>
      </c>
    </row>
    <row r="280" ht="13.199999999999999">
      <c r="A280" s="17"/>
      <c r="B280" s="17" t="s">
        <v>40</v>
      </c>
      <c r="C280" s="22" t="s">
        <v>1195</v>
      </c>
      <c r="D280" s="22">
        <v>49</v>
      </c>
      <c r="E280" s="23">
        <v>1</v>
      </c>
    </row>
    <row r="281" ht="13.199999999999999">
      <c r="A281" s="17"/>
      <c r="B281" s="17" t="s">
        <v>40</v>
      </c>
      <c r="C281" s="22" t="s">
        <v>1191</v>
      </c>
      <c r="D281" s="22">
        <v>149</v>
      </c>
      <c r="E281" s="23">
        <v>1</v>
      </c>
    </row>
    <row r="282" ht="13.199999999999999">
      <c r="A282" s="17"/>
      <c r="B282" s="17" t="s">
        <v>40</v>
      </c>
      <c r="C282" s="22" t="s">
        <v>1172</v>
      </c>
      <c r="D282" s="22">
        <v>299</v>
      </c>
      <c r="E282" s="23">
        <v>1</v>
      </c>
    </row>
    <row r="283" ht="13.199999999999999">
      <c r="A283" s="17"/>
      <c r="B283" s="17" t="s">
        <v>40</v>
      </c>
      <c r="C283" s="22" t="s">
        <v>1196</v>
      </c>
      <c r="D283" s="22">
        <v>149</v>
      </c>
      <c r="E283" s="23">
        <v>1</v>
      </c>
    </row>
    <row r="284" ht="13.199999999999999">
      <c r="A284" s="17"/>
      <c r="B284" s="17" t="s">
        <v>40</v>
      </c>
      <c r="C284" s="22" t="s">
        <v>1178</v>
      </c>
      <c r="D284" s="22">
        <v>1499</v>
      </c>
      <c r="E284" s="23">
        <v>1</v>
      </c>
    </row>
    <row r="285" ht="13.199999999999999">
      <c r="A285" s="17"/>
      <c r="B285" s="17" t="s">
        <v>40</v>
      </c>
      <c r="C285" s="22" t="s">
        <v>1173</v>
      </c>
      <c r="D285" s="22">
        <v>1597</v>
      </c>
      <c r="E285" s="23">
        <v>3</v>
      </c>
    </row>
    <row r="286" ht="13.199999999999999">
      <c r="A286" s="17"/>
      <c r="B286" s="17" t="s">
        <v>40</v>
      </c>
      <c r="C286" s="22" t="s">
        <v>1179</v>
      </c>
      <c r="D286" s="22">
        <v>49</v>
      </c>
      <c r="E286" s="23">
        <v>1</v>
      </c>
    </row>
    <row r="287" ht="13.199999999999999">
      <c r="A287" s="17"/>
      <c r="B287" s="17" t="s">
        <v>40</v>
      </c>
      <c r="C287" s="22" t="s">
        <v>1185</v>
      </c>
      <c r="D287" s="22">
        <v>4999</v>
      </c>
      <c r="E287" s="23">
        <v>1</v>
      </c>
    </row>
    <row r="288" ht="13.199999999999999">
      <c r="A288" s="17"/>
      <c r="B288" s="17" t="s">
        <v>40</v>
      </c>
      <c r="C288" s="22" t="s">
        <v>1193</v>
      </c>
      <c r="D288" s="22">
        <v>499</v>
      </c>
      <c r="E288" s="23">
        <v>1</v>
      </c>
    </row>
    <row r="289" ht="13.199999999999999">
      <c r="A289" s="17"/>
      <c r="B289" s="17" t="s">
        <v>40</v>
      </c>
      <c r="C289" s="22" t="s">
        <v>1180</v>
      </c>
      <c r="D289" s="22">
        <v>49</v>
      </c>
      <c r="E289" s="23">
        <v>1</v>
      </c>
    </row>
    <row r="290" ht="13.199999999999999">
      <c r="A290" s="17"/>
      <c r="B290" s="17" t="s">
        <v>40</v>
      </c>
      <c r="C290" s="22" t="s">
        <v>1174</v>
      </c>
      <c r="D290" s="22">
        <v>3998</v>
      </c>
      <c r="E290" s="23">
        <v>2</v>
      </c>
    </row>
    <row r="291" ht="13.199999999999999">
      <c r="A291" s="17"/>
      <c r="B291" s="17" t="s">
        <v>40</v>
      </c>
      <c r="C291" s="22" t="s">
        <v>1188</v>
      </c>
      <c r="D291" s="22">
        <v>99</v>
      </c>
      <c r="E291" s="23">
        <v>1</v>
      </c>
    </row>
    <row r="292" ht="13.199999999999999">
      <c r="A292" s="11">
        <v>28</v>
      </c>
      <c r="B292" s="11" t="s">
        <v>41</v>
      </c>
      <c r="C292" s="11" t="s">
        <v>1176</v>
      </c>
      <c r="D292" s="11">
        <v>49</v>
      </c>
      <c r="E292" s="21">
        <v>1</v>
      </c>
    </row>
    <row r="293" ht="13.199999999999999">
      <c r="A293" s="17"/>
      <c r="B293" s="17" t="s">
        <v>41</v>
      </c>
      <c r="C293" s="22" t="s">
        <v>1170</v>
      </c>
      <c r="D293" s="22">
        <v>2999</v>
      </c>
      <c r="E293" s="23">
        <v>1</v>
      </c>
    </row>
    <row r="294" ht="13.199999999999999">
      <c r="A294" s="17"/>
      <c r="B294" s="17" t="s">
        <v>41</v>
      </c>
      <c r="C294" s="22" t="s">
        <v>1191</v>
      </c>
      <c r="D294" s="22">
        <v>499</v>
      </c>
      <c r="E294" s="23">
        <v>1</v>
      </c>
    </row>
    <row r="295" ht="13.199999999999999">
      <c r="A295" s="17"/>
      <c r="B295" s="17" t="s">
        <v>41</v>
      </c>
      <c r="C295" s="22" t="s">
        <v>1171</v>
      </c>
      <c r="D295" s="22">
        <v>49</v>
      </c>
      <c r="E295" s="23">
        <v>1</v>
      </c>
    </row>
    <row r="296" ht="13.199999999999999">
      <c r="A296" s="17"/>
      <c r="B296" s="17" t="s">
        <v>41</v>
      </c>
      <c r="C296" s="22" t="s">
        <v>1196</v>
      </c>
      <c r="D296" s="22">
        <v>49</v>
      </c>
      <c r="E296" s="23">
        <v>1</v>
      </c>
    </row>
    <row r="297" ht="13.199999999999999">
      <c r="A297" s="17"/>
      <c r="B297" s="17" t="s">
        <v>41</v>
      </c>
      <c r="C297" s="22" t="s">
        <v>1178</v>
      </c>
      <c r="D297" s="22">
        <v>2999</v>
      </c>
      <c r="E297" s="23">
        <v>1</v>
      </c>
    </row>
    <row r="298" ht="13.199999999999999">
      <c r="A298" s="17"/>
      <c r="B298" s="17" t="s">
        <v>41</v>
      </c>
      <c r="C298" s="22" t="s">
        <v>1184</v>
      </c>
      <c r="D298" s="22">
        <v>299</v>
      </c>
      <c r="E298" s="23">
        <v>1</v>
      </c>
    </row>
    <row r="299" ht="13.199999999999999">
      <c r="A299" s="17"/>
      <c r="B299" s="17" t="s">
        <v>41</v>
      </c>
      <c r="C299" s="22" t="s">
        <v>1193</v>
      </c>
      <c r="D299" s="22">
        <v>1999</v>
      </c>
      <c r="E299" s="23">
        <v>1</v>
      </c>
    </row>
    <row r="300" ht="13.199999999999999">
      <c r="A300" s="17"/>
      <c r="B300" s="17" t="s">
        <v>41</v>
      </c>
      <c r="C300" s="22" t="s">
        <v>1180</v>
      </c>
      <c r="D300" s="22">
        <v>99</v>
      </c>
      <c r="E300" s="23">
        <v>1</v>
      </c>
    </row>
    <row r="301" ht="13.199999999999999">
      <c r="A301" s="17"/>
      <c r="B301" s="17" t="s">
        <v>41</v>
      </c>
      <c r="C301" s="22" t="s">
        <v>1182</v>
      </c>
      <c r="D301" s="22">
        <v>499</v>
      </c>
      <c r="E301" s="23">
        <v>1</v>
      </c>
    </row>
    <row r="302" ht="13.199999999999999">
      <c r="A302" s="11">
        <v>29</v>
      </c>
      <c r="B302" s="11" t="s">
        <v>42</v>
      </c>
      <c r="C302" s="11" t="s">
        <v>1195</v>
      </c>
      <c r="D302" s="11">
        <v>99</v>
      </c>
      <c r="E302" s="21">
        <v>1</v>
      </c>
    </row>
    <row r="303" ht="13.199999999999999">
      <c r="A303" s="17"/>
      <c r="B303" s="17" t="s">
        <v>42</v>
      </c>
      <c r="C303" s="22" t="s">
        <v>1168</v>
      </c>
      <c r="D303" s="22">
        <v>799</v>
      </c>
      <c r="E303" s="23">
        <v>1</v>
      </c>
    </row>
    <row r="304" ht="13.199999999999999">
      <c r="A304" s="17"/>
      <c r="B304" s="17" t="s">
        <v>42</v>
      </c>
      <c r="C304" s="22" t="s">
        <v>1176</v>
      </c>
      <c r="D304" s="22">
        <v>2999</v>
      </c>
      <c r="E304" s="23">
        <v>1</v>
      </c>
    </row>
    <row r="305" ht="13.199999999999999">
      <c r="A305" s="17"/>
      <c r="B305" s="17" t="s">
        <v>42</v>
      </c>
      <c r="C305" s="22" t="s">
        <v>1170</v>
      </c>
      <c r="D305" s="22">
        <v>499</v>
      </c>
      <c r="E305" s="23">
        <v>1</v>
      </c>
    </row>
    <row r="306" ht="13.199999999999999">
      <c r="A306" s="17"/>
      <c r="B306" s="17" t="s">
        <v>42</v>
      </c>
      <c r="C306" s="22" t="s">
        <v>1172</v>
      </c>
      <c r="D306" s="22">
        <v>399</v>
      </c>
      <c r="E306" s="23">
        <v>1</v>
      </c>
    </row>
    <row r="307" ht="13.199999999999999">
      <c r="A307" s="17"/>
      <c r="B307" s="17" t="s">
        <v>42</v>
      </c>
      <c r="C307" s="22" t="s">
        <v>1196</v>
      </c>
      <c r="D307" s="22">
        <v>1998</v>
      </c>
      <c r="E307" s="23">
        <v>2</v>
      </c>
    </row>
    <row r="308" ht="13.199999999999999">
      <c r="A308" s="17"/>
      <c r="B308" s="17" t="s">
        <v>42</v>
      </c>
      <c r="C308" s="22" t="s">
        <v>1178</v>
      </c>
      <c r="D308" s="22">
        <v>1098</v>
      </c>
      <c r="E308" s="23">
        <v>2</v>
      </c>
    </row>
    <row r="309" ht="13.199999999999999">
      <c r="A309" s="17"/>
      <c r="B309" s="17" t="s">
        <v>42</v>
      </c>
      <c r="C309" s="22" t="s">
        <v>1173</v>
      </c>
      <c r="D309" s="22">
        <v>49</v>
      </c>
      <c r="E309" s="23">
        <v>1</v>
      </c>
    </row>
    <row r="310" ht="13.199999999999999">
      <c r="A310" s="17"/>
      <c r="B310" s="17" t="s">
        <v>42</v>
      </c>
      <c r="C310" s="22" t="s">
        <v>1179</v>
      </c>
      <c r="D310" s="22">
        <v>49</v>
      </c>
      <c r="E310" s="23">
        <v>1</v>
      </c>
    </row>
    <row r="311" ht="13.199999999999999">
      <c r="A311" s="17"/>
      <c r="B311" s="17" t="s">
        <v>42</v>
      </c>
      <c r="C311" s="22" t="s">
        <v>1185</v>
      </c>
      <c r="D311" s="22">
        <v>149</v>
      </c>
      <c r="E311" s="23">
        <v>1</v>
      </c>
    </row>
    <row r="312" ht="13.199999999999999">
      <c r="A312" s="17"/>
      <c r="B312" s="17" t="s">
        <v>42</v>
      </c>
      <c r="C312" s="22" t="s">
        <v>1189</v>
      </c>
      <c r="D312" s="22">
        <v>3896</v>
      </c>
      <c r="E312" s="23">
        <v>4</v>
      </c>
    </row>
    <row r="313" ht="13.199999999999999">
      <c r="A313" s="17"/>
      <c r="B313" s="17" t="s">
        <v>42</v>
      </c>
      <c r="C313" s="22" t="s">
        <v>1194</v>
      </c>
      <c r="D313" s="22">
        <v>898</v>
      </c>
      <c r="E313" s="23">
        <v>2</v>
      </c>
    </row>
    <row r="314" ht="13.199999999999999">
      <c r="A314" s="17"/>
      <c r="B314" s="17" t="s">
        <v>42</v>
      </c>
      <c r="C314" s="22" t="s">
        <v>1197</v>
      </c>
      <c r="D314" s="22">
        <v>149</v>
      </c>
      <c r="E314" s="23">
        <v>1</v>
      </c>
    </row>
    <row r="315" ht="13.199999999999999">
      <c r="A315" s="11">
        <v>30</v>
      </c>
      <c r="B315" s="11" t="s">
        <v>43</v>
      </c>
      <c r="C315" s="11" t="s">
        <v>1183</v>
      </c>
      <c r="D315" s="11">
        <v>149</v>
      </c>
      <c r="E315" s="21">
        <v>1</v>
      </c>
    </row>
    <row r="316" ht="13.199999999999999">
      <c r="A316" s="17"/>
      <c r="B316" s="17" t="s">
        <v>43</v>
      </c>
      <c r="C316" s="22" t="s">
        <v>1176</v>
      </c>
      <c r="D316" s="22">
        <v>1197</v>
      </c>
      <c r="E316" s="23">
        <v>3</v>
      </c>
    </row>
    <row r="317" ht="13.199999999999999">
      <c r="A317" s="17"/>
      <c r="B317" s="17" t="s">
        <v>43</v>
      </c>
      <c r="C317" s="22" t="s">
        <v>1170</v>
      </c>
      <c r="D317" s="22">
        <v>99</v>
      </c>
      <c r="E317" s="23">
        <v>1</v>
      </c>
    </row>
    <row r="318" ht="13.199999999999999">
      <c r="A318" s="17"/>
      <c r="B318" s="17" t="s">
        <v>43</v>
      </c>
      <c r="C318" s="22" t="s">
        <v>1172</v>
      </c>
      <c r="D318" s="22">
        <v>499</v>
      </c>
      <c r="E318" s="23">
        <v>1</v>
      </c>
    </row>
    <row r="319" ht="13.199999999999999">
      <c r="A319" s="17"/>
      <c r="B319" s="17" t="s">
        <v>43</v>
      </c>
      <c r="C319" s="22" t="s">
        <v>1177</v>
      </c>
      <c r="D319" s="22">
        <v>1499</v>
      </c>
      <c r="E319" s="23">
        <v>1</v>
      </c>
    </row>
    <row r="320" ht="13.199999999999999">
      <c r="A320" s="17"/>
      <c r="B320" s="17" t="s">
        <v>43</v>
      </c>
      <c r="C320" s="22" t="s">
        <v>1196</v>
      </c>
      <c r="D320" s="22">
        <v>2497</v>
      </c>
      <c r="E320" s="23">
        <v>3</v>
      </c>
    </row>
    <row r="321" ht="13.199999999999999">
      <c r="A321" s="17"/>
      <c r="B321" s="17" t="s">
        <v>43</v>
      </c>
      <c r="C321" s="22" t="s">
        <v>1178</v>
      </c>
      <c r="D321" s="22">
        <v>49</v>
      </c>
      <c r="E321" s="23">
        <v>1</v>
      </c>
    </row>
    <row r="322" ht="13.199999999999999">
      <c r="A322" s="17"/>
      <c r="B322" s="17" t="s">
        <v>43</v>
      </c>
      <c r="C322" s="22" t="s">
        <v>1173</v>
      </c>
      <c r="D322" s="22">
        <v>49</v>
      </c>
      <c r="E322" s="23">
        <v>1</v>
      </c>
    </row>
    <row r="323" ht="13.199999999999999">
      <c r="A323" s="17"/>
      <c r="B323" s="17" t="s">
        <v>43</v>
      </c>
      <c r="C323" s="22" t="s">
        <v>1192</v>
      </c>
      <c r="D323" s="22">
        <v>799</v>
      </c>
      <c r="E323" s="23">
        <v>1</v>
      </c>
    </row>
    <row r="324" ht="13.199999999999999">
      <c r="A324" s="17"/>
      <c r="B324" s="17" t="s">
        <v>43</v>
      </c>
      <c r="C324" s="22" t="s">
        <v>1181</v>
      </c>
      <c r="D324" s="22">
        <v>799</v>
      </c>
      <c r="E324" s="23">
        <v>1</v>
      </c>
    </row>
    <row r="325" ht="13.199999999999999">
      <c r="A325" s="17"/>
      <c r="B325" s="17" t="s">
        <v>43</v>
      </c>
      <c r="C325" s="22" t="s">
        <v>1197</v>
      </c>
      <c r="D325" s="22">
        <v>49</v>
      </c>
      <c r="E325" s="23">
        <v>1</v>
      </c>
    </row>
    <row r="326" ht="13.199999999999999">
      <c r="A326" s="17"/>
      <c r="B326" s="17" t="s">
        <v>43</v>
      </c>
      <c r="C326" s="22" t="s">
        <v>1186</v>
      </c>
      <c r="D326" s="22">
        <v>149</v>
      </c>
      <c r="E326" s="23">
        <v>1</v>
      </c>
    </row>
    <row r="327" ht="13.199999999999999">
      <c r="A327" s="17"/>
      <c r="B327" s="17" t="s">
        <v>43</v>
      </c>
      <c r="C327" s="22" t="s">
        <v>1182</v>
      </c>
      <c r="D327" s="22">
        <v>49</v>
      </c>
      <c r="E327" s="23">
        <v>1</v>
      </c>
    </row>
    <row r="328" ht="13.199999999999999">
      <c r="A328" s="11">
        <v>31</v>
      </c>
      <c r="B328" s="11" t="s">
        <v>44</v>
      </c>
      <c r="C328" s="11" t="s">
        <v>1168</v>
      </c>
      <c r="D328" s="11">
        <v>49</v>
      </c>
      <c r="E328" s="21">
        <v>1</v>
      </c>
    </row>
    <row r="329" ht="13.199999999999999">
      <c r="A329" s="17"/>
      <c r="B329" s="17" t="s">
        <v>44</v>
      </c>
      <c r="C329" s="22" t="s">
        <v>1175</v>
      </c>
      <c r="D329" s="22">
        <v>49</v>
      </c>
      <c r="E329" s="23">
        <v>1</v>
      </c>
    </row>
    <row r="330" ht="13.199999999999999">
      <c r="A330" s="17"/>
      <c r="B330" s="17" t="s">
        <v>44</v>
      </c>
      <c r="C330" s="22" t="s">
        <v>1170</v>
      </c>
      <c r="D330" s="22">
        <v>1499</v>
      </c>
      <c r="E330" s="23">
        <v>1</v>
      </c>
    </row>
    <row r="331" ht="13.199999999999999">
      <c r="A331" s="17"/>
      <c r="B331" s="17" t="s">
        <v>44</v>
      </c>
      <c r="C331" s="22" t="s">
        <v>1191</v>
      </c>
      <c r="D331" s="22">
        <v>499</v>
      </c>
      <c r="E331" s="23">
        <v>1</v>
      </c>
    </row>
    <row r="332" ht="13.199999999999999">
      <c r="A332" s="17"/>
      <c r="B332" s="17" t="s">
        <v>44</v>
      </c>
      <c r="C332" s="22" t="s">
        <v>1172</v>
      </c>
      <c r="D332" s="22">
        <v>598</v>
      </c>
      <c r="E332" s="23">
        <v>2</v>
      </c>
    </row>
    <row r="333" ht="13.199999999999999">
      <c r="A333" s="17"/>
      <c r="B333" s="17" t="s">
        <v>44</v>
      </c>
      <c r="C333" s="22" t="s">
        <v>1177</v>
      </c>
      <c r="D333" s="22">
        <v>299</v>
      </c>
      <c r="E333" s="23">
        <v>1</v>
      </c>
    </row>
    <row r="334" ht="13.199999999999999">
      <c r="A334" s="17"/>
      <c r="B334" s="17" t="s">
        <v>44</v>
      </c>
      <c r="C334" s="22" t="s">
        <v>1196</v>
      </c>
      <c r="D334" s="22">
        <v>499</v>
      </c>
      <c r="E334" s="23">
        <v>1</v>
      </c>
    </row>
    <row r="335" ht="13.199999999999999">
      <c r="A335" s="17"/>
      <c r="B335" s="17" t="s">
        <v>44</v>
      </c>
      <c r="C335" s="22" t="s">
        <v>1178</v>
      </c>
      <c r="D335" s="22">
        <v>299</v>
      </c>
      <c r="E335" s="23">
        <v>1</v>
      </c>
    </row>
    <row r="336" ht="13.199999999999999">
      <c r="A336" s="17"/>
      <c r="B336" s="17" t="s">
        <v>44</v>
      </c>
      <c r="C336" s="22" t="s">
        <v>1184</v>
      </c>
      <c r="D336" s="22">
        <v>499</v>
      </c>
      <c r="E336" s="23">
        <v>1</v>
      </c>
    </row>
    <row r="337" ht="13.199999999999999">
      <c r="A337" s="17"/>
      <c r="B337" s="17" t="s">
        <v>44</v>
      </c>
      <c r="C337" s="22" t="s">
        <v>1192</v>
      </c>
      <c r="D337" s="22">
        <v>49</v>
      </c>
      <c r="E337" s="23">
        <v>1</v>
      </c>
    </row>
    <row r="338" ht="13.199999999999999">
      <c r="A338" s="17"/>
      <c r="B338" s="17" t="s">
        <v>44</v>
      </c>
      <c r="C338" s="22" t="s">
        <v>1193</v>
      </c>
      <c r="D338" s="22">
        <v>49</v>
      </c>
      <c r="E338" s="23">
        <v>1</v>
      </c>
    </row>
    <row r="339" ht="13.199999999999999">
      <c r="A339" s="17"/>
      <c r="B339" s="17" t="s">
        <v>44</v>
      </c>
      <c r="C339" s="22" t="s">
        <v>1180</v>
      </c>
      <c r="D339" s="22">
        <v>99</v>
      </c>
      <c r="E339" s="23">
        <v>1</v>
      </c>
    </row>
    <row r="340" ht="13.199999999999999">
      <c r="A340" s="17"/>
      <c r="B340" s="17" t="s">
        <v>44</v>
      </c>
      <c r="C340" s="22" t="s">
        <v>1197</v>
      </c>
      <c r="D340" s="22">
        <v>299</v>
      </c>
      <c r="E340" s="23">
        <v>1</v>
      </c>
    </row>
    <row r="341" ht="13.199999999999999">
      <c r="A341" s="17"/>
      <c r="B341" s="17" t="s">
        <v>44</v>
      </c>
      <c r="C341" s="22" t="s">
        <v>1186</v>
      </c>
      <c r="D341" s="22">
        <v>49</v>
      </c>
      <c r="E341" s="23">
        <v>1</v>
      </c>
    </row>
    <row r="342" ht="13.199999999999999">
      <c r="A342" s="11">
        <v>32</v>
      </c>
      <c r="B342" s="11" t="s">
        <v>45</v>
      </c>
      <c r="C342" s="11" t="s">
        <v>1183</v>
      </c>
      <c r="D342" s="11">
        <v>149</v>
      </c>
      <c r="E342" s="21">
        <v>1</v>
      </c>
    </row>
    <row r="343" ht="13.199999999999999">
      <c r="A343" s="17"/>
      <c r="B343" s="17" t="s">
        <v>45</v>
      </c>
      <c r="C343" s="22" t="s">
        <v>1195</v>
      </c>
      <c r="D343" s="22">
        <v>49</v>
      </c>
      <c r="E343" s="23">
        <v>1</v>
      </c>
    </row>
    <row r="344" ht="13.199999999999999">
      <c r="A344" s="17"/>
      <c r="B344" s="17" t="s">
        <v>45</v>
      </c>
      <c r="C344" s="22" t="s">
        <v>1169</v>
      </c>
      <c r="D344" s="22">
        <v>149</v>
      </c>
      <c r="E344" s="23">
        <v>1</v>
      </c>
    </row>
    <row r="345" ht="13.199999999999999">
      <c r="A345" s="17"/>
      <c r="B345" s="17" t="s">
        <v>45</v>
      </c>
      <c r="C345" s="22" t="s">
        <v>1170</v>
      </c>
      <c r="D345" s="22">
        <v>499</v>
      </c>
      <c r="E345" s="23">
        <v>1</v>
      </c>
    </row>
    <row r="346" ht="13.199999999999999">
      <c r="A346" s="17"/>
      <c r="B346" s="17" t="s">
        <v>45</v>
      </c>
      <c r="C346" s="22" t="s">
        <v>1177</v>
      </c>
      <c r="D346" s="22">
        <v>1999</v>
      </c>
      <c r="E346" s="23">
        <v>1</v>
      </c>
    </row>
    <row r="347" ht="13.199999999999999">
      <c r="A347" s="17"/>
      <c r="B347" s="17" t="s">
        <v>45</v>
      </c>
      <c r="C347" s="22" t="s">
        <v>1178</v>
      </c>
      <c r="D347" s="22">
        <v>148</v>
      </c>
      <c r="E347" s="23">
        <v>2</v>
      </c>
    </row>
    <row r="348" ht="13.199999999999999">
      <c r="A348" s="17"/>
      <c r="B348" s="17" t="s">
        <v>45</v>
      </c>
      <c r="C348" s="22" t="s">
        <v>1192</v>
      </c>
      <c r="D348" s="22">
        <v>149</v>
      </c>
      <c r="E348" s="23">
        <v>1</v>
      </c>
    </row>
    <row r="349" ht="13.199999999999999">
      <c r="A349" s="17"/>
      <c r="B349" s="17" t="s">
        <v>45</v>
      </c>
      <c r="C349" s="22" t="s">
        <v>1193</v>
      </c>
      <c r="D349" s="22">
        <v>348</v>
      </c>
      <c r="E349" s="23">
        <v>2</v>
      </c>
    </row>
    <row r="350" ht="13.199999999999999">
      <c r="A350" s="17"/>
      <c r="B350" s="17" t="s">
        <v>45</v>
      </c>
      <c r="C350" s="22" t="s">
        <v>1188</v>
      </c>
      <c r="D350" s="22">
        <v>49</v>
      </c>
      <c r="E350" s="23">
        <v>1</v>
      </c>
    </row>
    <row r="351" ht="13.199999999999999">
      <c r="A351" s="17"/>
      <c r="B351" s="17" t="s">
        <v>45</v>
      </c>
      <c r="C351" s="22" t="s">
        <v>1189</v>
      </c>
      <c r="D351" s="22">
        <v>49</v>
      </c>
      <c r="E351" s="23">
        <v>1</v>
      </c>
    </row>
    <row r="352" ht="13.199999999999999">
      <c r="A352" s="17"/>
      <c r="B352" s="17" t="s">
        <v>45</v>
      </c>
      <c r="C352" s="22" t="s">
        <v>1194</v>
      </c>
      <c r="D352" s="22">
        <v>1499</v>
      </c>
      <c r="E352" s="23">
        <v>1</v>
      </c>
    </row>
    <row r="353" ht="13.199999999999999">
      <c r="A353" s="17"/>
      <c r="B353" s="17" t="s">
        <v>45</v>
      </c>
      <c r="C353" s="22" t="s">
        <v>1197</v>
      </c>
      <c r="D353" s="22">
        <v>2999</v>
      </c>
      <c r="E353" s="23">
        <v>1</v>
      </c>
    </row>
    <row r="354" ht="13.199999999999999">
      <c r="A354" s="11">
        <v>33</v>
      </c>
      <c r="B354" s="11" t="s">
        <v>46</v>
      </c>
      <c r="C354" s="11" t="s">
        <v>1183</v>
      </c>
      <c r="D354" s="11">
        <v>149</v>
      </c>
      <c r="E354" s="21">
        <v>1</v>
      </c>
    </row>
    <row r="355" ht="13.199999999999999">
      <c r="A355" s="17"/>
      <c r="B355" s="17" t="s">
        <v>46</v>
      </c>
      <c r="C355" s="22" t="s">
        <v>1195</v>
      </c>
      <c r="D355" s="22">
        <v>4999</v>
      </c>
      <c r="E355" s="23">
        <v>1</v>
      </c>
    </row>
    <row r="356" ht="13.199999999999999">
      <c r="A356" s="17"/>
      <c r="B356" s="17" t="s">
        <v>46</v>
      </c>
      <c r="C356" s="22" t="s">
        <v>1172</v>
      </c>
      <c r="D356" s="22">
        <v>299</v>
      </c>
      <c r="E356" s="23">
        <v>1</v>
      </c>
    </row>
    <row r="357" ht="13.199999999999999">
      <c r="A357" s="17"/>
      <c r="B357" s="17" t="s">
        <v>46</v>
      </c>
      <c r="C357" s="22" t="s">
        <v>1178</v>
      </c>
      <c r="D357" s="22">
        <v>799</v>
      </c>
      <c r="E357" s="23">
        <v>1</v>
      </c>
    </row>
    <row r="358" ht="13.199999999999999">
      <c r="A358" s="17"/>
      <c r="B358" s="17" t="s">
        <v>46</v>
      </c>
      <c r="C358" s="22" t="s">
        <v>1185</v>
      </c>
      <c r="D358" s="22">
        <v>499</v>
      </c>
      <c r="E358" s="23">
        <v>1</v>
      </c>
    </row>
    <row r="359" ht="13.199999999999999">
      <c r="A359" s="17"/>
      <c r="B359" s="17" t="s">
        <v>46</v>
      </c>
      <c r="C359" s="22" t="s">
        <v>1193</v>
      </c>
      <c r="D359" s="22">
        <v>3298</v>
      </c>
      <c r="E359" s="23">
        <v>2</v>
      </c>
    </row>
    <row r="360" ht="13.199999999999999">
      <c r="A360" s="17"/>
      <c r="B360" s="17" t="s">
        <v>46</v>
      </c>
      <c r="C360" s="22" t="s">
        <v>1180</v>
      </c>
      <c r="D360" s="22">
        <v>99</v>
      </c>
      <c r="E360" s="23">
        <v>1</v>
      </c>
    </row>
    <row r="361" ht="13.199999999999999">
      <c r="A361" s="17"/>
      <c r="B361" s="17" t="s">
        <v>46</v>
      </c>
      <c r="C361" s="22" t="s">
        <v>1174</v>
      </c>
      <c r="D361" s="22">
        <v>49</v>
      </c>
      <c r="E361" s="23">
        <v>1</v>
      </c>
    </row>
    <row r="362" ht="13.199999999999999">
      <c r="A362" s="17"/>
      <c r="B362" s="17" t="s">
        <v>46</v>
      </c>
      <c r="C362" s="22" t="s">
        <v>1188</v>
      </c>
      <c r="D362" s="22">
        <v>49</v>
      </c>
      <c r="E362" s="23">
        <v>1</v>
      </c>
    </row>
    <row r="363" ht="13.199999999999999">
      <c r="A363" s="17"/>
      <c r="B363" s="17" t="s">
        <v>46</v>
      </c>
      <c r="C363" s="22" t="s">
        <v>1189</v>
      </c>
      <c r="D363" s="22">
        <v>99</v>
      </c>
      <c r="E363" s="23">
        <v>1</v>
      </c>
    </row>
    <row r="364" ht="13.199999999999999">
      <c r="A364" s="11">
        <v>34</v>
      </c>
      <c r="B364" s="11" t="s">
        <v>47</v>
      </c>
      <c r="C364" s="11" t="s">
        <v>1187</v>
      </c>
      <c r="D364" s="11">
        <v>548</v>
      </c>
      <c r="E364" s="21">
        <v>2</v>
      </c>
    </row>
    <row r="365" ht="13.199999999999999">
      <c r="A365" s="17"/>
      <c r="B365" s="17" t="s">
        <v>47</v>
      </c>
      <c r="C365" s="22" t="s">
        <v>1168</v>
      </c>
      <c r="D365" s="22">
        <v>2999</v>
      </c>
      <c r="E365" s="23">
        <v>1</v>
      </c>
    </row>
    <row r="366" ht="13.199999999999999">
      <c r="A366" s="17"/>
      <c r="B366" s="17" t="s">
        <v>47</v>
      </c>
      <c r="C366" s="22" t="s">
        <v>1170</v>
      </c>
      <c r="D366" s="22">
        <v>299</v>
      </c>
      <c r="E366" s="23">
        <v>1</v>
      </c>
    </row>
    <row r="367" ht="13.199999999999999">
      <c r="A367" s="17"/>
      <c r="B367" s="17" t="s">
        <v>47</v>
      </c>
      <c r="C367" s="22" t="s">
        <v>1191</v>
      </c>
      <c r="D367" s="22">
        <v>49</v>
      </c>
      <c r="E367" s="23">
        <v>1</v>
      </c>
    </row>
    <row r="368" ht="13.199999999999999">
      <c r="A368" s="17"/>
      <c r="B368" s="17" t="s">
        <v>47</v>
      </c>
      <c r="C368" s="22" t="s">
        <v>1172</v>
      </c>
      <c r="D368" s="22">
        <v>399</v>
      </c>
      <c r="E368" s="23">
        <v>1</v>
      </c>
    </row>
    <row r="369" ht="13.199999999999999">
      <c r="A369" s="17"/>
      <c r="B369" s="17" t="s">
        <v>47</v>
      </c>
      <c r="C369" s="22" t="s">
        <v>1173</v>
      </c>
      <c r="D369" s="22">
        <v>299</v>
      </c>
      <c r="E369" s="23">
        <v>1</v>
      </c>
    </row>
    <row r="370" ht="13.199999999999999">
      <c r="A370" s="17"/>
      <c r="B370" s="17" t="s">
        <v>47</v>
      </c>
      <c r="C370" s="22" t="s">
        <v>1192</v>
      </c>
      <c r="D370" s="22">
        <v>148</v>
      </c>
      <c r="E370" s="23">
        <v>2</v>
      </c>
    </row>
    <row r="371" ht="13.199999999999999">
      <c r="A371" s="17"/>
      <c r="B371" s="17" t="s">
        <v>47</v>
      </c>
      <c r="C371" s="22" t="s">
        <v>1179</v>
      </c>
      <c r="D371" s="22">
        <v>499</v>
      </c>
      <c r="E371" s="23">
        <v>1</v>
      </c>
    </row>
    <row r="372" ht="13.199999999999999">
      <c r="A372" s="17"/>
      <c r="B372" s="17" t="s">
        <v>47</v>
      </c>
      <c r="C372" s="22" t="s">
        <v>1193</v>
      </c>
      <c r="D372" s="22">
        <v>799</v>
      </c>
      <c r="E372" s="23">
        <v>1</v>
      </c>
    </row>
    <row r="373" ht="13.199999999999999">
      <c r="A373" s="17"/>
      <c r="B373" s="17" t="s">
        <v>47</v>
      </c>
      <c r="C373" s="22" t="s">
        <v>1180</v>
      </c>
      <c r="D373" s="22">
        <v>299</v>
      </c>
      <c r="E373" s="23">
        <v>1</v>
      </c>
    </row>
    <row r="374" ht="13.199999999999999">
      <c r="A374" s="17"/>
      <c r="B374" s="17" t="s">
        <v>47</v>
      </c>
      <c r="C374" s="22" t="s">
        <v>1174</v>
      </c>
      <c r="D374" s="22">
        <v>3148</v>
      </c>
      <c r="E374" s="23">
        <v>2</v>
      </c>
    </row>
    <row r="375" ht="13.199999999999999">
      <c r="A375" s="17"/>
      <c r="B375" s="17" t="s">
        <v>47</v>
      </c>
      <c r="C375" s="22" t="s">
        <v>1188</v>
      </c>
      <c r="D375" s="22">
        <v>548</v>
      </c>
      <c r="E375" s="23">
        <v>2</v>
      </c>
    </row>
    <row r="376" ht="13.199999999999999">
      <c r="A376" s="11">
        <v>35</v>
      </c>
      <c r="B376" s="11" t="s">
        <v>48</v>
      </c>
      <c r="C376" s="11" t="s">
        <v>1190</v>
      </c>
      <c r="D376" s="11">
        <v>798</v>
      </c>
      <c r="E376" s="21">
        <v>2</v>
      </c>
    </row>
    <row r="377" ht="13.199999999999999">
      <c r="A377" s="17"/>
      <c r="B377" s="17" t="s">
        <v>48</v>
      </c>
      <c r="C377" s="22" t="s">
        <v>1187</v>
      </c>
      <c r="D377" s="22">
        <v>1847</v>
      </c>
      <c r="E377" s="23">
        <v>3</v>
      </c>
    </row>
    <row r="378" ht="13.199999999999999">
      <c r="A378" s="17"/>
      <c r="B378" s="17" t="s">
        <v>48</v>
      </c>
      <c r="C378" s="22" t="s">
        <v>1171</v>
      </c>
      <c r="D378" s="22">
        <v>4999</v>
      </c>
      <c r="E378" s="23">
        <v>1</v>
      </c>
    </row>
    <row r="379" ht="13.199999999999999">
      <c r="A379" s="17"/>
      <c r="B379" s="17" t="s">
        <v>48</v>
      </c>
      <c r="C379" s="22" t="s">
        <v>1172</v>
      </c>
      <c r="D379" s="22">
        <v>99</v>
      </c>
      <c r="E379" s="23">
        <v>1</v>
      </c>
    </row>
    <row r="380" ht="13.199999999999999">
      <c r="A380" s="17"/>
      <c r="B380" s="17" t="s">
        <v>48</v>
      </c>
      <c r="C380" s="22" t="s">
        <v>1177</v>
      </c>
      <c r="D380" s="22">
        <v>149</v>
      </c>
      <c r="E380" s="23">
        <v>1</v>
      </c>
    </row>
    <row r="381" ht="13.199999999999999">
      <c r="A381" s="17"/>
      <c r="B381" s="17" t="s">
        <v>48</v>
      </c>
      <c r="C381" s="22" t="s">
        <v>1193</v>
      </c>
      <c r="D381" s="22">
        <v>299</v>
      </c>
      <c r="E381" s="23">
        <v>1</v>
      </c>
    </row>
    <row r="382" ht="13.199999999999999">
      <c r="A382" s="17"/>
      <c r="B382" s="17" t="s">
        <v>48</v>
      </c>
      <c r="C382" s="22" t="s">
        <v>1180</v>
      </c>
      <c r="D382" s="22">
        <v>299</v>
      </c>
      <c r="E382" s="23">
        <v>1</v>
      </c>
    </row>
    <row r="383" ht="13.199999999999999">
      <c r="A383" s="17"/>
      <c r="B383" s="17" t="s">
        <v>48</v>
      </c>
      <c r="C383" s="22" t="s">
        <v>1188</v>
      </c>
      <c r="D383" s="22">
        <v>149</v>
      </c>
      <c r="E383" s="23">
        <v>1</v>
      </c>
    </row>
    <row r="384" ht="13.199999999999999">
      <c r="A384" s="17"/>
      <c r="B384" s="17" t="s">
        <v>48</v>
      </c>
      <c r="C384" s="22" t="s">
        <v>1181</v>
      </c>
      <c r="D384" s="22">
        <v>499</v>
      </c>
      <c r="E384" s="23">
        <v>1</v>
      </c>
    </row>
    <row r="385" ht="13.199999999999999">
      <c r="A385" s="17"/>
      <c r="B385" s="17" t="s">
        <v>48</v>
      </c>
      <c r="C385" s="22" t="s">
        <v>1197</v>
      </c>
      <c r="D385" s="22">
        <v>49</v>
      </c>
      <c r="E385" s="23">
        <v>1</v>
      </c>
    </row>
    <row r="386" ht="13.199999999999999">
      <c r="A386" s="17"/>
      <c r="B386" s="17" t="s">
        <v>48</v>
      </c>
      <c r="C386" s="22" t="s">
        <v>1182</v>
      </c>
      <c r="D386" s="22">
        <v>99</v>
      </c>
      <c r="E386" s="23">
        <v>1</v>
      </c>
    </row>
    <row r="387" ht="13.199999999999999">
      <c r="A387" s="11">
        <v>36</v>
      </c>
      <c r="B387" s="11" t="s">
        <v>49</v>
      </c>
      <c r="C387" s="11" t="s">
        <v>1190</v>
      </c>
      <c r="D387" s="11">
        <v>149</v>
      </c>
      <c r="E387" s="21">
        <v>1</v>
      </c>
    </row>
    <row r="388" ht="13.199999999999999">
      <c r="A388" s="17"/>
      <c r="B388" s="17" t="s">
        <v>49</v>
      </c>
      <c r="C388" s="22" t="s">
        <v>1187</v>
      </c>
      <c r="D388" s="22">
        <v>299</v>
      </c>
      <c r="E388" s="23">
        <v>1</v>
      </c>
    </row>
    <row r="389" ht="13.199999999999999">
      <c r="A389" s="17"/>
      <c r="B389" s="17" t="s">
        <v>49</v>
      </c>
      <c r="C389" s="22" t="s">
        <v>1183</v>
      </c>
      <c r="D389" s="22">
        <v>248</v>
      </c>
      <c r="E389" s="23">
        <v>2</v>
      </c>
    </row>
    <row r="390" ht="13.199999999999999">
      <c r="A390" s="17"/>
      <c r="B390" s="17" t="s">
        <v>49</v>
      </c>
      <c r="C390" s="22" t="s">
        <v>1195</v>
      </c>
      <c r="D390" s="22">
        <v>149</v>
      </c>
      <c r="E390" s="23">
        <v>1</v>
      </c>
    </row>
    <row r="391" ht="13.199999999999999">
      <c r="A391" s="17"/>
      <c r="B391" s="17" t="s">
        <v>49</v>
      </c>
      <c r="C391" s="22" t="s">
        <v>1184</v>
      </c>
      <c r="D391" s="22">
        <v>1499</v>
      </c>
      <c r="E391" s="23">
        <v>1</v>
      </c>
    </row>
    <row r="392" ht="13.199999999999999">
      <c r="A392" s="17"/>
      <c r="B392" s="17" t="s">
        <v>49</v>
      </c>
      <c r="C392" s="22" t="s">
        <v>1173</v>
      </c>
      <c r="D392" s="22">
        <v>1499</v>
      </c>
      <c r="E392" s="23">
        <v>1</v>
      </c>
    </row>
    <row r="393" ht="13.199999999999999">
      <c r="A393" s="17"/>
      <c r="B393" s="17" t="s">
        <v>49</v>
      </c>
      <c r="C393" s="22" t="s">
        <v>1179</v>
      </c>
      <c r="D393" s="22">
        <v>4999</v>
      </c>
      <c r="E393" s="23">
        <v>1</v>
      </c>
    </row>
    <row r="394" ht="13.199999999999999">
      <c r="A394" s="17"/>
      <c r="B394" s="17" t="s">
        <v>49</v>
      </c>
      <c r="C394" s="22" t="s">
        <v>1185</v>
      </c>
      <c r="D394" s="22">
        <v>49</v>
      </c>
      <c r="E394" s="23">
        <v>1</v>
      </c>
    </row>
    <row r="395" ht="13.199999999999999">
      <c r="A395" s="17"/>
      <c r="B395" s="17" t="s">
        <v>49</v>
      </c>
      <c r="C395" s="22" t="s">
        <v>1188</v>
      </c>
      <c r="D395" s="22">
        <v>1647</v>
      </c>
      <c r="E395" s="23">
        <v>3</v>
      </c>
    </row>
    <row r="396" ht="13.199999999999999">
      <c r="A396" s="17"/>
      <c r="B396" s="17" t="s">
        <v>49</v>
      </c>
      <c r="C396" s="22" t="s">
        <v>1181</v>
      </c>
      <c r="D396" s="22">
        <v>198</v>
      </c>
      <c r="E396" s="23">
        <v>2</v>
      </c>
    </row>
    <row r="397" ht="13.199999999999999">
      <c r="A397" s="17"/>
      <c r="B397" s="17" t="s">
        <v>49</v>
      </c>
      <c r="C397" s="22" t="s">
        <v>1197</v>
      </c>
      <c r="D397" s="22">
        <v>999</v>
      </c>
      <c r="E397" s="23">
        <v>1</v>
      </c>
    </row>
    <row r="398" ht="13.199999999999999">
      <c r="A398" s="17"/>
      <c r="B398" s="17" t="s">
        <v>49</v>
      </c>
      <c r="C398" s="22" t="s">
        <v>1186</v>
      </c>
      <c r="D398" s="22">
        <v>799</v>
      </c>
      <c r="E398" s="23">
        <v>1</v>
      </c>
    </row>
    <row r="399" ht="13.199999999999999">
      <c r="A399" s="11">
        <v>37</v>
      </c>
      <c r="B399" s="11" t="s">
        <v>51</v>
      </c>
      <c r="C399" s="11" t="s">
        <v>1190</v>
      </c>
      <c r="D399" s="11">
        <v>598</v>
      </c>
      <c r="E399" s="21">
        <v>2</v>
      </c>
    </row>
    <row r="400" ht="13.199999999999999">
      <c r="A400" s="17"/>
      <c r="B400" s="17" t="s">
        <v>51</v>
      </c>
      <c r="C400" s="22" t="s">
        <v>1187</v>
      </c>
      <c r="D400" s="22">
        <v>2999</v>
      </c>
      <c r="E400" s="23">
        <v>1</v>
      </c>
    </row>
    <row r="401" ht="13.199999999999999">
      <c r="A401" s="17"/>
      <c r="B401" s="17" t="s">
        <v>51</v>
      </c>
      <c r="C401" s="22" t="s">
        <v>1183</v>
      </c>
      <c r="D401" s="22">
        <v>299</v>
      </c>
      <c r="E401" s="23">
        <v>1</v>
      </c>
    </row>
    <row r="402" ht="13.199999999999999">
      <c r="A402" s="17"/>
      <c r="B402" s="17" t="s">
        <v>51</v>
      </c>
      <c r="C402" s="22" t="s">
        <v>1195</v>
      </c>
      <c r="D402" s="22">
        <v>49</v>
      </c>
      <c r="E402" s="23">
        <v>1</v>
      </c>
    </row>
    <row r="403" ht="13.199999999999999">
      <c r="A403" s="17"/>
      <c r="B403" s="17" t="s">
        <v>51</v>
      </c>
      <c r="C403" s="22" t="s">
        <v>1168</v>
      </c>
      <c r="D403" s="22">
        <v>1499</v>
      </c>
      <c r="E403" s="23">
        <v>1</v>
      </c>
    </row>
    <row r="404" ht="13.199999999999999">
      <c r="A404" s="17"/>
      <c r="B404" s="17" t="s">
        <v>51</v>
      </c>
      <c r="C404" s="22" t="s">
        <v>1169</v>
      </c>
      <c r="D404" s="22">
        <v>99</v>
      </c>
      <c r="E404" s="23">
        <v>1</v>
      </c>
    </row>
    <row r="405" ht="13.199999999999999">
      <c r="A405" s="17"/>
      <c r="B405" s="17" t="s">
        <v>51</v>
      </c>
      <c r="C405" s="22" t="s">
        <v>1172</v>
      </c>
      <c r="D405" s="22">
        <v>149</v>
      </c>
      <c r="E405" s="23">
        <v>1</v>
      </c>
    </row>
    <row r="406" ht="13.199999999999999">
      <c r="A406" s="17"/>
      <c r="B406" s="17" t="s">
        <v>51</v>
      </c>
      <c r="C406" s="22" t="s">
        <v>1184</v>
      </c>
      <c r="D406" s="22">
        <v>2999</v>
      </c>
      <c r="E406" s="23">
        <v>1</v>
      </c>
    </row>
    <row r="407" ht="13.199999999999999">
      <c r="A407" s="17"/>
      <c r="B407" s="17" t="s">
        <v>51</v>
      </c>
      <c r="C407" s="22" t="s">
        <v>1173</v>
      </c>
      <c r="D407" s="22">
        <v>49</v>
      </c>
      <c r="E407" s="23">
        <v>1</v>
      </c>
    </row>
    <row r="408" ht="13.199999999999999">
      <c r="A408" s="17"/>
      <c r="B408" s="17" t="s">
        <v>51</v>
      </c>
      <c r="C408" s="22" t="s">
        <v>1185</v>
      </c>
      <c r="D408" s="22">
        <v>149</v>
      </c>
      <c r="E408" s="23">
        <v>1</v>
      </c>
    </row>
    <row r="409" ht="13.199999999999999">
      <c r="A409" s="17"/>
      <c r="B409" s="17" t="s">
        <v>51</v>
      </c>
      <c r="C409" s="22" t="s">
        <v>1193</v>
      </c>
      <c r="D409" s="22">
        <v>99</v>
      </c>
      <c r="E409" s="23">
        <v>1</v>
      </c>
    </row>
    <row r="410" ht="13.199999999999999">
      <c r="A410" s="17"/>
      <c r="B410" s="17" t="s">
        <v>51</v>
      </c>
      <c r="C410" s="22" t="s">
        <v>1174</v>
      </c>
      <c r="D410" s="22">
        <v>1999</v>
      </c>
      <c r="E410" s="23">
        <v>1</v>
      </c>
    </row>
    <row r="411" ht="13.199999999999999">
      <c r="A411" s="17"/>
      <c r="B411" s="17" t="s">
        <v>51</v>
      </c>
      <c r="C411" s="22" t="s">
        <v>1194</v>
      </c>
      <c r="D411" s="22">
        <v>799</v>
      </c>
      <c r="E411" s="23">
        <v>1</v>
      </c>
    </row>
    <row r="412" ht="13.199999999999999">
      <c r="A412" s="17"/>
      <c r="B412" s="17" t="s">
        <v>51</v>
      </c>
      <c r="C412" s="22" t="s">
        <v>1197</v>
      </c>
      <c r="D412" s="22">
        <v>697</v>
      </c>
      <c r="E412" s="23">
        <v>3</v>
      </c>
    </row>
    <row r="413" ht="13.199999999999999">
      <c r="A413" s="17"/>
      <c r="B413" s="17" t="s">
        <v>51</v>
      </c>
      <c r="C413" s="22" t="s">
        <v>1186</v>
      </c>
      <c r="D413" s="22">
        <v>149</v>
      </c>
      <c r="E413" s="23">
        <v>1</v>
      </c>
    </row>
    <row r="414" ht="13.199999999999999">
      <c r="A414" s="17"/>
      <c r="B414" s="17" t="s">
        <v>51</v>
      </c>
      <c r="C414" s="22" t="s">
        <v>1182</v>
      </c>
      <c r="D414" s="22">
        <v>299</v>
      </c>
      <c r="E414" s="23">
        <v>1</v>
      </c>
    </row>
    <row r="415" ht="13.199999999999999">
      <c r="A415" s="11">
        <v>38</v>
      </c>
      <c r="B415" s="11" t="s">
        <v>52</v>
      </c>
      <c r="C415" s="11" t="s">
        <v>1168</v>
      </c>
      <c r="D415" s="11">
        <v>1499</v>
      </c>
      <c r="E415" s="21">
        <v>1</v>
      </c>
    </row>
    <row r="416" ht="13.199999999999999">
      <c r="A416" s="17"/>
      <c r="B416" s="17" t="s">
        <v>52</v>
      </c>
      <c r="C416" s="22" t="s">
        <v>1169</v>
      </c>
      <c r="D416" s="22">
        <v>99</v>
      </c>
      <c r="E416" s="23">
        <v>1</v>
      </c>
    </row>
    <row r="417" ht="13.199999999999999">
      <c r="A417" s="17"/>
      <c r="B417" s="17" t="s">
        <v>52</v>
      </c>
      <c r="C417" s="22" t="s">
        <v>1170</v>
      </c>
      <c r="D417" s="22">
        <v>348</v>
      </c>
      <c r="E417" s="23">
        <v>2</v>
      </c>
    </row>
    <row r="418" ht="13.199999999999999">
      <c r="A418" s="17"/>
      <c r="B418" s="17" t="s">
        <v>52</v>
      </c>
      <c r="C418" s="22" t="s">
        <v>1191</v>
      </c>
      <c r="D418" s="22">
        <v>398</v>
      </c>
      <c r="E418" s="23">
        <v>2</v>
      </c>
    </row>
    <row r="419" ht="13.199999999999999">
      <c r="A419" s="17"/>
      <c r="B419" s="17" t="s">
        <v>52</v>
      </c>
      <c r="C419" s="22" t="s">
        <v>1178</v>
      </c>
      <c r="D419" s="22">
        <v>499</v>
      </c>
      <c r="E419" s="23">
        <v>1</v>
      </c>
    </row>
    <row r="420" ht="13.199999999999999">
      <c r="A420" s="17"/>
      <c r="B420" s="17" t="s">
        <v>52</v>
      </c>
      <c r="C420" s="22" t="s">
        <v>1180</v>
      </c>
      <c r="D420" s="22">
        <v>299</v>
      </c>
      <c r="E420" s="23">
        <v>1</v>
      </c>
    </row>
    <row r="421" ht="13.199999999999999">
      <c r="A421" s="17"/>
      <c r="B421" s="17" t="s">
        <v>52</v>
      </c>
      <c r="C421" s="22" t="s">
        <v>1174</v>
      </c>
      <c r="D421" s="22">
        <v>499</v>
      </c>
      <c r="E421" s="23">
        <v>1</v>
      </c>
    </row>
    <row r="422" ht="13.199999999999999">
      <c r="A422" s="17"/>
      <c r="B422" s="17" t="s">
        <v>52</v>
      </c>
      <c r="C422" s="22" t="s">
        <v>1197</v>
      </c>
      <c r="D422" s="22">
        <v>299</v>
      </c>
      <c r="E422" s="23">
        <v>1</v>
      </c>
    </row>
    <row r="423" ht="13.199999999999999">
      <c r="A423" s="11">
        <v>39</v>
      </c>
      <c r="B423" s="11" t="s">
        <v>53</v>
      </c>
      <c r="C423" s="11" t="s">
        <v>1187</v>
      </c>
      <c r="D423" s="11">
        <v>499</v>
      </c>
      <c r="E423" s="21">
        <v>1</v>
      </c>
    </row>
    <row r="424" ht="13.199999999999999">
      <c r="A424" s="17"/>
      <c r="B424" s="17" t="s">
        <v>53</v>
      </c>
      <c r="C424" s="22" t="s">
        <v>1168</v>
      </c>
      <c r="D424" s="22">
        <v>299</v>
      </c>
      <c r="E424" s="23">
        <v>1</v>
      </c>
    </row>
    <row r="425" ht="13.199999999999999">
      <c r="A425" s="17"/>
      <c r="B425" s="17" t="s">
        <v>53</v>
      </c>
      <c r="C425" s="22" t="s">
        <v>1170</v>
      </c>
      <c r="D425" s="22">
        <v>399</v>
      </c>
      <c r="E425" s="23">
        <v>1</v>
      </c>
    </row>
    <row r="426" ht="13.199999999999999">
      <c r="A426" s="17"/>
      <c r="B426" s="17" t="s">
        <v>53</v>
      </c>
      <c r="C426" s="22" t="s">
        <v>1191</v>
      </c>
      <c r="D426" s="22">
        <v>49</v>
      </c>
      <c r="E426" s="23">
        <v>1</v>
      </c>
    </row>
    <row r="427" ht="13.199999999999999">
      <c r="A427" s="17"/>
      <c r="B427" s="17" t="s">
        <v>53</v>
      </c>
      <c r="C427" s="22" t="s">
        <v>1184</v>
      </c>
      <c r="D427" s="22">
        <v>499</v>
      </c>
      <c r="E427" s="23">
        <v>1</v>
      </c>
    </row>
    <row r="428" ht="13.199999999999999">
      <c r="A428" s="17"/>
      <c r="B428" s="17" t="s">
        <v>53</v>
      </c>
      <c r="C428" s="22" t="s">
        <v>1173</v>
      </c>
      <c r="D428" s="22">
        <v>2999</v>
      </c>
      <c r="E428" s="23">
        <v>1</v>
      </c>
    </row>
    <row r="429" ht="13.199999999999999">
      <c r="A429" s="17"/>
      <c r="B429" s="17" t="s">
        <v>53</v>
      </c>
      <c r="C429" s="22" t="s">
        <v>1192</v>
      </c>
      <c r="D429" s="22">
        <v>2999</v>
      </c>
      <c r="E429" s="23">
        <v>1</v>
      </c>
    </row>
    <row r="430" ht="13.199999999999999">
      <c r="A430" s="17"/>
      <c r="B430" s="17" t="s">
        <v>53</v>
      </c>
      <c r="C430" s="22" t="s">
        <v>1180</v>
      </c>
      <c r="D430" s="22">
        <v>9796</v>
      </c>
      <c r="E430" s="23">
        <v>4</v>
      </c>
    </row>
    <row r="431" ht="13.199999999999999">
      <c r="A431" s="17"/>
      <c r="B431" s="17" t="s">
        <v>53</v>
      </c>
      <c r="C431" s="22" t="s">
        <v>1174</v>
      </c>
      <c r="D431" s="22">
        <v>4999</v>
      </c>
      <c r="E431" s="23">
        <v>1</v>
      </c>
    </row>
    <row r="432" ht="13.199999999999999">
      <c r="A432" s="17"/>
      <c r="B432" s="17" t="s">
        <v>53</v>
      </c>
      <c r="C432" s="22" t="s">
        <v>1186</v>
      </c>
      <c r="D432" s="22">
        <v>149</v>
      </c>
      <c r="E432" s="23">
        <v>1</v>
      </c>
    </row>
    <row r="433" ht="13.199999999999999">
      <c r="A433" s="11">
        <v>40</v>
      </c>
      <c r="B433" s="11" t="s">
        <v>54</v>
      </c>
      <c r="C433" s="11" t="s">
        <v>1190</v>
      </c>
      <c r="D433" s="11">
        <v>299</v>
      </c>
      <c r="E433" s="21">
        <v>1</v>
      </c>
    </row>
    <row r="434" ht="13.199999999999999">
      <c r="A434" s="17"/>
      <c r="B434" s="17" t="s">
        <v>54</v>
      </c>
      <c r="C434" s="22" t="s">
        <v>1183</v>
      </c>
      <c r="D434" s="22">
        <v>49</v>
      </c>
      <c r="E434" s="23">
        <v>1</v>
      </c>
    </row>
    <row r="435" ht="13.199999999999999">
      <c r="A435" s="17"/>
      <c r="B435" s="17" t="s">
        <v>54</v>
      </c>
      <c r="C435" s="22" t="s">
        <v>1176</v>
      </c>
      <c r="D435" s="22">
        <v>49</v>
      </c>
      <c r="E435" s="23">
        <v>1</v>
      </c>
    </row>
    <row r="436" ht="13.199999999999999">
      <c r="A436" s="17"/>
      <c r="B436" s="17" t="s">
        <v>54</v>
      </c>
      <c r="C436" s="22" t="s">
        <v>1171</v>
      </c>
      <c r="D436" s="22">
        <v>4999</v>
      </c>
      <c r="E436" s="23">
        <v>1</v>
      </c>
    </row>
    <row r="437" ht="13.199999999999999">
      <c r="A437" s="17"/>
      <c r="B437" s="17" t="s">
        <v>54</v>
      </c>
      <c r="C437" s="22" t="s">
        <v>1172</v>
      </c>
      <c r="D437" s="22">
        <v>99</v>
      </c>
      <c r="E437" s="23">
        <v>1</v>
      </c>
    </row>
    <row r="438" ht="13.199999999999999">
      <c r="A438" s="17"/>
      <c r="B438" s="17" t="s">
        <v>54</v>
      </c>
      <c r="C438" s="22" t="s">
        <v>1177</v>
      </c>
      <c r="D438" s="22">
        <v>299</v>
      </c>
      <c r="E438" s="23">
        <v>1</v>
      </c>
    </row>
    <row r="439" ht="13.199999999999999">
      <c r="A439" s="17"/>
      <c r="B439" s="17" t="s">
        <v>54</v>
      </c>
      <c r="C439" s="22" t="s">
        <v>1196</v>
      </c>
      <c r="D439" s="22">
        <v>99</v>
      </c>
      <c r="E439" s="23">
        <v>1</v>
      </c>
    </row>
    <row r="440" ht="13.199999999999999">
      <c r="A440" s="17"/>
      <c r="B440" s="17" t="s">
        <v>54</v>
      </c>
      <c r="C440" s="22" t="s">
        <v>1178</v>
      </c>
      <c r="D440" s="22">
        <v>149</v>
      </c>
      <c r="E440" s="23">
        <v>1</v>
      </c>
    </row>
    <row r="441" ht="13.199999999999999">
      <c r="A441" s="17"/>
      <c r="B441" s="17" t="s">
        <v>54</v>
      </c>
      <c r="C441" s="22" t="s">
        <v>1192</v>
      </c>
      <c r="D441" s="22">
        <v>799</v>
      </c>
      <c r="E441" s="23">
        <v>1</v>
      </c>
    </row>
    <row r="442" ht="13.199999999999999">
      <c r="A442" s="17"/>
      <c r="B442" s="17" t="s">
        <v>54</v>
      </c>
      <c r="C442" s="22" t="s">
        <v>1179</v>
      </c>
      <c r="D442" s="22">
        <v>648</v>
      </c>
      <c r="E442" s="23">
        <v>2</v>
      </c>
    </row>
    <row r="443" ht="13.199999999999999">
      <c r="A443" s="17"/>
      <c r="B443" s="17" t="s">
        <v>54</v>
      </c>
      <c r="C443" s="22" t="s">
        <v>1174</v>
      </c>
      <c r="D443" s="22">
        <v>598</v>
      </c>
      <c r="E443" s="23">
        <v>2</v>
      </c>
    </row>
    <row r="444" ht="13.199999999999999">
      <c r="A444" s="17"/>
      <c r="B444" s="17" t="s">
        <v>54</v>
      </c>
      <c r="C444" s="22" t="s">
        <v>1186</v>
      </c>
      <c r="D444" s="22">
        <v>149</v>
      </c>
      <c r="E444" s="23">
        <v>1</v>
      </c>
    </row>
    <row r="445" ht="13.199999999999999">
      <c r="A445" s="17"/>
      <c r="B445" s="17" t="s">
        <v>54</v>
      </c>
      <c r="C445" s="22" t="s">
        <v>1182</v>
      </c>
      <c r="D445" s="22">
        <v>499</v>
      </c>
      <c r="E445" s="23">
        <v>1</v>
      </c>
    </row>
    <row r="446" ht="15.75" customHeight="1">
      <c r="A446" s="24" t="s">
        <v>667</v>
      </c>
      <c r="B446" s="28"/>
      <c r="C446" s="28"/>
      <c r="D446" s="24">
        <v>382603</v>
      </c>
      <c r="E446" s="26">
        <v>547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2026-08-14T15:10:35Z</dcterms:modified>
</cp:coreProperties>
</file>